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rface\OneDrive\Desktop\UV\"/>
    </mc:Choice>
  </mc:AlternateContent>
  <bookViews>
    <workbookView xWindow="0" yWindow="0" windowWidth="13680" windowHeight="9465" activeTab="2"/>
  </bookViews>
  <sheets>
    <sheet name="Modèle sans action" sheetId="2" r:id="rId1"/>
    <sheet name="Modèle avec action" sheetId="1" r:id="rId2"/>
    <sheet name="Feuil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2" i="3" l="1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C3" i="3"/>
  <c r="B3" i="3"/>
  <c r="E2" i="3"/>
  <c r="D2" i="3"/>
  <c r="C2" i="3"/>
  <c r="B2" i="3"/>
  <c r="E10" i="2"/>
  <c r="D10" i="2"/>
  <c r="C10" i="2"/>
  <c r="B11" i="2" s="1"/>
  <c r="B10" i="2"/>
  <c r="E11" i="2" s="1"/>
  <c r="F9" i="2"/>
  <c r="F5" i="2"/>
  <c r="F4" i="2"/>
  <c r="F3" i="2"/>
  <c r="F2" i="2"/>
  <c r="C10" i="1"/>
  <c r="D10" i="1"/>
  <c r="E10" i="1"/>
  <c r="F9" i="1"/>
  <c r="B10" i="1"/>
  <c r="F2" i="1"/>
  <c r="F3" i="1"/>
  <c r="F4" i="1"/>
  <c r="F5" i="1"/>
  <c r="E11" i="1" l="1"/>
  <c r="C12" i="2"/>
  <c r="C11" i="2"/>
  <c r="E12" i="2" s="1"/>
  <c r="D11" i="2"/>
  <c r="F10" i="2"/>
  <c r="F10" i="1"/>
  <c r="B11" i="1"/>
  <c r="C11" i="1"/>
  <c r="D11" i="1"/>
  <c r="F11" i="2" l="1"/>
  <c r="D12" i="2"/>
  <c r="B12" i="2"/>
  <c r="F11" i="1"/>
  <c r="E12" i="1"/>
  <c r="D12" i="1"/>
  <c r="C12" i="1"/>
  <c r="B12" i="1"/>
  <c r="C13" i="2" l="1"/>
  <c r="D13" i="2"/>
  <c r="B13" i="2"/>
  <c r="E13" i="2"/>
  <c r="F12" i="2"/>
  <c r="F12" i="1"/>
  <c r="E13" i="1"/>
  <c r="D13" i="1"/>
  <c r="C13" i="1"/>
  <c r="B13" i="1"/>
  <c r="B14" i="2" l="1"/>
  <c r="E14" i="2"/>
  <c r="F13" i="2"/>
  <c r="D14" i="2"/>
  <c r="C14" i="2"/>
  <c r="F13" i="1"/>
  <c r="E14" i="1"/>
  <c r="D14" i="1"/>
  <c r="C14" i="1"/>
  <c r="B14" i="1"/>
  <c r="E15" i="2" l="1"/>
  <c r="F14" i="2"/>
  <c r="D15" i="2"/>
  <c r="B15" i="2"/>
  <c r="C15" i="2"/>
  <c r="F14" i="1"/>
  <c r="E15" i="1"/>
  <c r="D15" i="1"/>
  <c r="C15" i="1"/>
  <c r="B15" i="1"/>
  <c r="D16" i="2" l="1"/>
  <c r="F15" i="2"/>
  <c r="C16" i="2"/>
  <c r="B16" i="2"/>
  <c r="E16" i="2"/>
  <c r="F15" i="1"/>
  <c r="E16" i="1"/>
  <c r="D16" i="1"/>
  <c r="C16" i="1"/>
  <c r="B16" i="1"/>
  <c r="C17" i="2" l="1"/>
  <c r="B17" i="2"/>
  <c r="D17" i="2"/>
  <c r="E17" i="2"/>
  <c r="F16" i="2"/>
  <c r="F16" i="1"/>
  <c r="E17" i="1"/>
  <c r="D17" i="1"/>
  <c r="C17" i="1"/>
  <c r="B17" i="1"/>
  <c r="B18" i="2" l="1"/>
  <c r="E18" i="2"/>
  <c r="F17" i="2"/>
  <c r="D18" i="2"/>
  <c r="C18" i="2"/>
  <c r="F17" i="1"/>
  <c r="E18" i="1"/>
  <c r="D18" i="1"/>
  <c r="C18" i="1"/>
  <c r="B18" i="1"/>
  <c r="E19" i="2" l="1"/>
  <c r="F18" i="2"/>
  <c r="D19" i="2"/>
  <c r="B19" i="2"/>
  <c r="C19" i="2"/>
  <c r="F18" i="1"/>
  <c r="E19" i="1"/>
  <c r="D19" i="1"/>
  <c r="C19" i="1"/>
  <c r="B19" i="1"/>
  <c r="D20" i="1" l="1"/>
  <c r="C20" i="1"/>
  <c r="B20" i="1"/>
  <c r="E20" i="1"/>
  <c r="D20" i="2"/>
  <c r="F19" i="2"/>
  <c r="C20" i="2"/>
  <c r="B20" i="2"/>
  <c r="E20" i="2"/>
  <c r="F19" i="1"/>
  <c r="F20" i="1" l="1"/>
  <c r="D21" i="1"/>
  <c r="C21" i="1"/>
  <c r="B21" i="1"/>
  <c r="E21" i="1"/>
  <c r="C21" i="2"/>
  <c r="B21" i="2"/>
  <c r="D21" i="2"/>
  <c r="E21" i="2"/>
  <c r="F20" i="2"/>
  <c r="F21" i="1" l="1"/>
  <c r="D22" i="1"/>
  <c r="C22" i="1"/>
  <c r="B22" i="1"/>
  <c r="E22" i="1"/>
  <c r="B22" i="2"/>
  <c r="E22" i="2"/>
  <c r="F21" i="2"/>
  <c r="D22" i="2"/>
  <c r="C22" i="2"/>
  <c r="B23" i="1" l="1"/>
  <c r="D23" i="1"/>
  <c r="F22" i="1"/>
  <c r="E23" i="1"/>
  <c r="C23" i="1"/>
  <c r="E23" i="2"/>
  <c r="F22" i="2"/>
  <c r="D23" i="2"/>
  <c r="B23" i="2"/>
  <c r="C23" i="2"/>
  <c r="E24" i="1" l="1"/>
  <c r="B24" i="1"/>
  <c r="F23" i="1"/>
  <c r="C24" i="1"/>
  <c r="D24" i="1"/>
  <c r="D24" i="2"/>
  <c r="F23" i="2"/>
  <c r="C24" i="2"/>
  <c r="B24" i="2"/>
  <c r="E24" i="2"/>
  <c r="B25" i="1" l="1"/>
  <c r="C25" i="1"/>
  <c r="D25" i="1"/>
  <c r="F24" i="1"/>
  <c r="E25" i="1"/>
  <c r="C25" i="2"/>
  <c r="D25" i="2"/>
  <c r="B25" i="2"/>
  <c r="E25" i="2"/>
  <c r="F24" i="2"/>
  <c r="E26" i="1" l="1"/>
  <c r="C26" i="1"/>
  <c r="F25" i="1"/>
  <c r="B26" i="1"/>
  <c r="D26" i="1"/>
  <c r="B26" i="2"/>
  <c r="E26" i="2"/>
  <c r="F25" i="2"/>
  <c r="C26" i="2"/>
  <c r="D26" i="2"/>
  <c r="D27" i="1" l="1"/>
  <c r="B27" i="1"/>
  <c r="C27" i="1"/>
  <c r="E27" i="1"/>
  <c r="F26" i="1"/>
  <c r="E27" i="2"/>
  <c r="F26" i="2"/>
  <c r="B27" i="2"/>
  <c r="D27" i="2"/>
  <c r="C27" i="2"/>
  <c r="D28" i="1" l="1"/>
  <c r="F27" i="1"/>
  <c r="B28" i="1"/>
  <c r="E28" i="1"/>
  <c r="C28" i="1"/>
  <c r="D28" i="2"/>
  <c r="E28" i="2"/>
  <c r="C28" i="2"/>
  <c r="B28" i="2"/>
  <c r="F27" i="2"/>
  <c r="B29" i="1" l="1"/>
  <c r="C29" i="1"/>
  <c r="D29" i="1"/>
  <c r="E29" i="1"/>
  <c r="F28" i="1"/>
  <c r="C29" i="2"/>
  <c r="B29" i="2"/>
  <c r="E29" i="2"/>
  <c r="F28" i="2"/>
  <c r="D29" i="2"/>
  <c r="E30" i="1" l="1"/>
  <c r="C30" i="1"/>
  <c r="F29" i="1"/>
  <c r="D30" i="1"/>
  <c r="B30" i="1"/>
  <c r="B30" i="2"/>
  <c r="C30" i="2"/>
  <c r="E30" i="2"/>
  <c r="F29" i="2"/>
  <c r="D30" i="2"/>
  <c r="C31" i="1" l="1"/>
  <c r="E31" i="1"/>
  <c r="B31" i="1"/>
  <c r="D31" i="1"/>
  <c r="F30" i="1"/>
  <c r="E31" i="2"/>
  <c r="F30" i="2"/>
  <c r="D31" i="2"/>
  <c r="C31" i="2"/>
  <c r="B31" i="2"/>
  <c r="D32" i="1" l="1"/>
  <c r="E32" i="1"/>
  <c r="C32" i="1"/>
  <c r="F31" i="1"/>
  <c r="B32" i="1"/>
  <c r="D32" i="2"/>
  <c r="E32" i="2"/>
  <c r="C32" i="2"/>
  <c r="F31" i="2"/>
  <c r="B32" i="2"/>
  <c r="E33" i="1" l="1"/>
  <c r="B33" i="1"/>
  <c r="C33" i="1"/>
  <c r="D33" i="1"/>
  <c r="F32" i="1"/>
  <c r="C33" i="2"/>
  <c r="B33" i="2"/>
  <c r="E33" i="2"/>
  <c r="F32" i="2"/>
  <c r="D33" i="2"/>
  <c r="E34" i="1" l="1"/>
  <c r="B34" i="1"/>
  <c r="F33" i="1"/>
  <c r="C34" i="1"/>
  <c r="D34" i="1"/>
  <c r="B34" i="2"/>
  <c r="E34" i="2"/>
  <c r="F33" i="2"/>
  <c r="C34" i="2"/>
  <c r="D34" i="2"/>
  <c r="E35" i="1" l="1"/>
  <c r="D35" i="1"/>
  <c r="C35" i="1"/>
  <c r="F34" i="1"/>
  <c r="B35" i="1"/>
  <c r="E35" i="2"/>
  <c r="F34" i="2"/>
  <c r="D35" i="2"/>
  <c r="C35" i="2"/>
  <c r="B35" i="2"/>
  <c r="D36" i="1" l="1"/>
  <c r="C36" i="1"/>
  <c r="B36" i="1"/>
  <c r="E36" i="1"/>
  <c r="F35" i="1"/>
  <c r="D36" i="2"/>
  <c r="F35" i="2"/>
  <c r="C36" i="2"/>
  <c r="B36" i="2"/>
  <c r="E36" i="2"/>
  <c r="C37" i="1" l="1"/>
  <c r="E37" i="1"/>
  <c r="F36" i="1"/>
  <c r="D37" i="1"/>
  <c r="B37" i="1"/>
  <c r="C37" i="2"/>
  <c r="B37" i="2"/>
  <c r="E37" i="2"/>
  <c r="F36" i="2"/>
  <c r="D37" i="2"/>
  <c r="D38" i="1" l="1"/>
  <c r="C38" i="1"/>
  <c r="E38" i="1"/>
  <c r="F37" i="1"/>
  <c r="B38" i="1"/>
  <c r="B38" i="2"/>
  <c r="C38" i="2"/>
  <c r="E38" i="2"/>
  <c r="F37" i="2"/>
  <c r="D38" i="2"/>
  <c r="F38" i="1" l="1"/>
  <c r="B39" i="1"/>
  <c r="D39" i="1"/>
  <c r="C39" i="1"/>
  <c r="E39" i="1"/>
  <c r="E39" i="2"/>
  <c r="F38" i="2"/>
  <c r="D39" i="2"/>
  <c r="B39" i="2"/>
  <c r="C39" i="2"/>
  <c r="F39" i="1" l="1"/>
  <c r="F39" i="2"/>
</calcChain>
</file>

<file path=xl/sharedStrings.xml><?xml version="1.0" encoding="utf-8"?>
<sst xmlns="http://schemas.openxmlformats.org/spreadsheetml/2006/main" count="35" uniqueCount="10">
  <si>
    <t>Fidèle</t>
  </si>
  <si>
    <t>Passif</t>
  </si>
  <si>
    <t>À risque</t>
  </si>
  <si>
    <t>Perdu</t>
  </si>
  <si>
    <t>Mois</t>
  </si>
  <si>
    <t>Total</t>
  </si>
  <si>
    <t>Fidèle (Sans action)</t>
  </si>
  <si>
    <t>Fidèles (Avec actions)</t>
  </si>
  <si>
    <t>Perdus (Sans action)</t>
  </si>
  <si>
    <t>Perdus (Avec actions)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</si>
</sst>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1" fillId="4" borderId="0" xfId="0" applyFont="1" applyFill="1" applyAlignment="1">
      <alignment horizontal="left" vertical="top"/>
    </xf>
    <xf numFmtId="0" fontId="2" fillId="5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2" fillId="5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Évolution des clients Fidèles : Sans action vs Avec actions</a:t>
            </a:r>
            <a:endParaRPr lang="en-US"/>
          </a:p>
        </c:rich>
      </c:tx>
      <c:layout>
        <c:manualLayout>
          <c:xMode val="edge"/>
          <c:yMode val="edge"/>
          <c:x val="8.8354111986001752E-2"/>
          <c:y val="3.2407407407407406E-2"/>
        </c:manualLayout>
      </c:layout>
      <c:overlay val="0"/>
      <c:spPr>
        <a:noFill/>
        <a:ln cmpd="sng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Feuil3!$B$1</c:f>
              <c:strCache>
                <c:ptCount val="1"/>
                <c:pt idx="0">
                  <c:v>Fidèle (Sans action)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Feuil3!$A$2:$A$32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Feuil3!$B$2:$B$32</c:f>
              <c:numCache>
                <c:formatCode>General</c:formatCode>
                <c:ptCount val="31"/>
                <c:pt idx="0">
                  <c:v>500</c:v>
                </c:pt>
                <c:pt idx="1">
                  <c:v>415</c:v>
                </c:pt>
                <c:pt idx="2">
                  <c:v>353</c:v>
                </c:pt>
                <c:pt idx="3">
                  <c:v>304.76250000000005</c:v>
                </c:pt>
                <c:pt idx="4">
                  <c:v>265.20375000000007</c:v>
                </c:pt>
                <c:pt idx="5">
                  <c:v>231.69484375000008</c:v>
                </c:pt>
                <c:pt idx="6">
                  <c:v>202.81046250000006</c:v>
                </c:pt>
                <c:pt idx="7">
                  <c:v>177.69158820312506</c:v>
                </c:pt>
                <c:pt idx="8">
                  <c:v>155.75272547656255</c:v>
                </c:pt>
                <c:pt idx="9">
                  <c:v>136.55134859511725</c:v>
                </c:pt>
                <c:pt idx="10">
                  <c:v>119.729138938086</c:v>
                </c:pt>
                <c:pt idx="11">
                  <c:v>104.9843111941978</c:v>
                </c:pt>
                <c:pt idx="12">
                  <c:v>92.057413231888674</c:v>
                </c:pt>
                <c:pt idx="13">
                  <c:v>80.723093007328401</c:v>
                </c:pt>
                <c:pt idx="14">
                  <c:v>70.784641136984931</c:v>
                </c:pt>
                <c:pt idx="15">
                  <c:v>62.069940077349784</c:v>
                </c:pt>
                <c:pt idx="16">
                  <c:v>54.428218118935</c:v>
                </c:pt>
                <c:pt idx="17">
                  <c:v>47.727330485321133</c:v>
                </c:pt>
                <c:pt idx="18">
                  <c:v>41.851428243595215</c:v>
                </c:pt>
                <c:pt idx="19">
                  <c:v>36.698936301406803</c:v>
                </c:pt>
                <c:pt idx="20">
                  <c:v>32.180789539677974</c:v>
                </c:pt>
                <c:pt idx="21">
                  <c:v>28.218889931268599</c:v>
                </c:pt>
                <c:pt idx="22">
                  <c:v>24.744755203812794</c:v>
                </c:pt>
                <c:pt idx="23">
                  <c:v>21.698334534437489</c:v>
                </c:pt>
                <c:pt idx="24">
                  <c:v>19.026970325055423</c:v>
                </c:pt>
                <c:pt idx="25">
                  <c:v>16.684487912439288</c:v>
                </c:pt>
                <c:pt idx="26">
                  <c:v>14.630397395411407</c:v>
                </c:pt>
                <c:pt idx="27">
                  <c:v>12.829193748040945</c:v>
                </c:pt>
                <c:pt idx="28">
                  <c:v>11.24974310685287</c:v>
                </c:pt>
                <c:pt idx="29">
                  <c:v>9.8647446179969691</c:v>
                </c:pt>
                <c:pt idx="30">
                  <c:v>8.6502585398881049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BE-4565-B75D-930887411318}"/>
            </c:ext>
          </c:extLst>
        </c:ser>
        <c:ser>
          <c:idx val="1"/>
          <c:order val="1"/>
          <c:tx>
            <c:strRef>
              <c:f>Feuil3!$C$1</c:f>
              <c:strCache>
                <c:ptCount val="1"/>
                <c:pt idx="0">
                  <c:v>Fidèles (Avec actions)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Feuil3!$A$2:$A$32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Feuil3!$C$2:$C$32</c:f>
              <c:numCache>
                <c:formatCode>General</c:formatCode>
                <c:ptCount val="31"/>
                <c:pt idx="0">
                  <c:v>500</c:v>
                </c:pt>
                <c:pt idx="1">
                  <c:v>550</c:v>
                </c:pt>
                <c:pt idx="2">
                  <c:v>545.5</c:v>
                </c:pt>
                <c:pt idx="3">
                  <c:v>523.55000000000007</c:v>
                </c:pt>
                <c:pt idx="4">
                  <c:v>496.08150000000012</c:v>
                </c:pt>
                <c:pt idx="5">
                  <c:v>467.51005000000015</c:v>
                </c:pt>
                <c:pt idx="6">
                  <c:v>439.5410995000002</c:v>
                </c:pt>
                <c:pt idx="7">
                  <c:v>412.81263835000021</c:v>
                </c:pt>
                <c:pt idx="8">
                  <c:v>387.52914793350021</c:v>
                </c:pt>
                <c:pt idx="9">
                  <c:v>363.71886709065018</c:v>
                </c:pt>
                <c:pt idx="10">
                  <c:v>341.34004233811561</c:v>
                </c:pt>
                <c:pt idx="11">
                  <c:v>320.32497955361782</c:v>
                </c:pt>
                <c:pt idx="12">
                  <c:v>300.59823669515652</c:v>
                </c:pt>
                <c:pt idx="13">
                  <c:v>282.08403642839698</c:v>
                </c:pt>
                <c:pt idx="14">
                  <c:v>264.7091860514073</c:v>
                </c:pt>
                <c:pt idx="15">
                  <c:v>248.40413041957925</c:v>
                </c:pt>
                <c:pt idx="16">
                  <c:v>233.10323466811155</c:v>
                </c:pt>
                <c:pt idx="17">
                  <c:v>218.74475462056853</c:v>
                </c:pt>
                <c:pt idx="18">
                  <c:v>205.27068572329361</c:v>
                </c:pt>
                <c:pt idx="19">
                  <c:v>192.62656973448139</c:v>
                </c:pt>
                <c:pt idx="20">
                  <c:v>180.76129176728676</c:v>
                </c:pt>
                <c:pt idx="21">
                  <c:v>169.62688082301099</c:v>
                </c:pt>
                <c:pt idx="22">
                  <c:v>159.17831884317047</c:v>
                </c:pt>
                <c:pt idx="23">
                  <c:v>149.37335994814649</c:v>
                </c:pt>
                <c:pt idx="24">
                  <c:v>140.17236015161421</c:v>
                </c:pt>
                <c:pt idx="25">
                  <c:v>131.53811728872984</c:v>
                </c:pt>
                <c:pt idx="26">
                  <c:v>123.43572068917786</c:v>
                </c:pt>
                <c:pt idx="27">
                  <c:v>115.83241006181825</c:v>
                </c:pt>
                <c:pt idx="28">
                  <c:v>108.69744305153547</c:v>
                </c:pt>
                <c:pt idx="29">
                  <c:v>102.00197094581661</c:v>
                </c:pt>
                <c:pt idx="30">
                  <c:v>95.718922033953959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BE-4565-B75D-930887411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4117760"/>
        <c:axId val="1604119424"/>
      </c:lineChart>
      <c:catAx>
        <c:axId val="160411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119424"/>
        <c:crosses val="autoZero"/>
        <c:auto val="1"/>
        <c:lblAlgn val="ctr"/>
        <c:lblOffset val="100"/>
        <c:noMultiLvlLbl val="0"/>
      </c:catAx>
      <c:valAx>
        <c:axId val="160411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117760"/>
        <c:crosses val="autoZero"/>
        <c:crossBetween val="between"/>
      </c:valAx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Évolution des clients Perdus : Sans action vs Avec actions</a:t>
            </a:r>
            <a:endParaRPr lang="en-US"/>
          </a:p>
        </c:rich>
      </c:tx>
      <c:layout/>
      <c:overlay val="0"/>
      <c:spPr>
        <a:noFill/>
        <a:ln cmpd="sng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623359580052493E-2"/>
          <c:y val="0.17634259259259263"/>
          <c:w val="0.87753018372703417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strRef>
              <c:f>Feuil3!$D$1</c:f>
              <c:strCache>
                <c:ptCount val="1"/>
                <c:pt idx="0">
                  <c:v>Perdus (Sans action)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Feuil3!$A$2:$A$32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Feuil3!$D$2:$D$32</c:f>
              <c:numCache>
                <c:formatCode>General</c:formatCode>
                <c:ptCount val="31"/>
                <c:pt idx="0">
                  <c:v>50</c:v>
                </c:pt>
                <c:pt idx="1">
                  <c:v>150</c:v>
                </c:pt>
                <c:pt idx="2">
                  <c:v>248.25</c:v>
                </c:pt>
                <c:pt idx="3">
                  <c:v>338.27499999999998</c:v>
                </c:pt>
                <c:pt idx="4">
                  <c:v>418.71937500000001</c:v>
                </c:pt>
                <c:pt idx="5">
                  <c:v>489.86300000000006</c:v>
                </c:pt>
                <c:pt idx="6">
                  <c:v>552.49425781250011</c:v>
                </c:pt>
                <c:pt idx="7">
                  <c:v>607.51635203125011</c:v>
                </c:pt>
                <c:pt idx="8">
                  <c:v>655.80656648046886</c:v>
                </c:pt>
                <c:pt idx="9">
                  <c:v>698.16907352578141</c:v>
                </c:pt>
                <c:pt idx="10">
                  <c:v>735.32344156813497</c:v>
                </c:pt>
                <c:pt idx="11">
                  <c:v>767.9066191164211</c:v>
                </c:pt>
                <c:pt idx="12">
                  <c:v>796.47961693398281</c:v>
                </c:pt>
                <c:pt idx="13">
                  <c:v>821.53540864823208</c:v>
                </c:pt>
                <c:pt idx="14">
                  <c:v>843.50670500489377</c:v>
                </c:pt>
                <c:pt idx="15">
                  <c:v>862.77312261584962</c:v>
                </c:pt>
                <c:pt idx="16">
                  <c:v>879.66761636112062</c:v>
                </c:pt>
                <c:pt idx="17">
                  <c:v>894.48218071502561</c:v>
                </c:pt>
                <c:pt idx="18">
                  <c:v>907.47287448162626</c:v>
                </c:pt>
                <c:pt idx="19">
                  <c:v>918.86423745545028</c:v>
                </c:pt>
                <c:pt idx="20">
                  <c:v>928.85316771753128</c:v>
                </c:pt>
                <c:pt idx="21">
                  <c:v>937.61232340908737</c:v>
                </c:pt>
                <c:pt idx="22">
                  <c:v>945.29310646017905</c:v>
                </c:pt>
                <c:pt idx="23">
                  <c:v>952.02827929669445</c:v>
                </c:pt>
                <c:pt idx="24">
                  <c:v>957.93425952636449</c:v>
                </c:pt>
                <c:pt idx="25">
                  <c:v>963.11313217213103</c:v>
                </c:pt>
                <c:pt idx="26">
                  <c:v>967.6544141946714</c:v>
                </c:pt>
                <c:pt idx="27">
                  <c:v>971.63660178737473</c:v>
                </c:pt>
                <c:pt idx="28">
                  <c:v>975.12852718192835</c:v>
                </c:pt>
                <c:pt idx="29">
                  <c:v>978.19054841407569</c:v>
                </c:pt>
                <c:pt idx="30">
                  <c:v>980.87559261349065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A6-4136-83D0-BEA18CE74952}"/>
            </c:ext>
          </c:extLst>
        </c:ser>
        <c:ser>
          <c:idx val="1"/>
          <c:order val="1"/>
          <c:tx>
            <c:strRef>
              <c:f>Feuil3!$E$1</c:f>
              <c:strCache>
                <c:ptCount val="1"/>
                <c:pt idx="0">
                  <c:v>Perdus (Avec actions)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Feuil3!$A$2:$A$32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Feuil3!$E$2:$E$32</c:f>
              <c:numCache>
                <c:formatCode>General</c:formatCode>
                <c:ptCount val="31"/>
                <c:pt idx="0">
                  <c:v>50</c:v>
                </c:pt>
                <c:pt idx="1">
                  <c:v>125</c:v>
                </c:pt>
                <c:pt idx="2">
                  <c:v>186.25</c:v>
                </c:pt>
                <c:pt idx="3">
                  <c:v>239.51499999999999</c:v>
                </c:pt>
                <c:pt idx="4">
                  <c:v>287.68124999999998</c:v>
                </c:pt>
                <c:pt idx="5">
                  <c:v>332.11244499999998</c:v>
                </c:pt>
                <c:pt idx="6">
                  <c:v>373.48446824999996</c:v>
                </c:pt>
                <c:pt idx="7">
                  <c:v>412.17315153499999</c:v>
                </c:pt>
                <c:pt idx="8">
                  <c:v>448.42227509324999</c:v>
                </c:pt>
                <c:pt idx="9">
                  <c:v>482.41494825130502</c:v>
                </c:pt>
                <c:pt idx="10">
                  <c:v>514.30389532864024</c:v>
                </c:pt>
                <c:pt idx="11">
                  <c:v>544.2244424571943</c:v>
                </c:pt>
                <c:pt idx="12">
                  <c:v>572.30023871442813</c:v>
                </c:pt>
                <c:pt idx="13">
                  <c:v>598.64591965627153</c:v>
                </c:pt>
                <c:pt idx="14">
                  <c:v>623.36847546937804</c:v>
                </c:pt>
                <c:pt idx="15">
                  <c:v>646.568061805458</c:v>
                </c:pt>
                <c:pt idx="16">
                  <c:v>668.33856288431014</c:v>
                </c:pt>
                <c:pt idx="17">
                  <c:v>688.76803721558736</c:v>
                </c:pt>
                <c:pt idx="18">
                  <c:v>707.93910128993832</c:v>
                </c:pt>
                <c:pt idx="19">
                  <c:v>725.92927517974431</c:v>
                </c:pt>
                <c:pt idx="20">
                  <c:v>742.81130080766025</c:v>
                </c:pt>
                <c:pt idx="21">
                  <c:v>758.65343808360399</c:v>
                </c:pt>
                <c:pt idx="22">
                  <c:v>773.51974174392899</c:v>
                </c:pt>
                <c:pt idx="23">
                  <c:v>787.47032069628926</c:v>
                </c:pt>
                <c:pt idx="24">
                  <c:v>800.56158120485452</c:v>
                </c:pt>
                <c:pt idx="25">
                  <c:v>812.8464550187432</c:v>
                </c:pt>
                <c:pt idx="26">
                  <c:v>824.37461341606627</c:v>
                </c:pt>
                <c:pt idx="27">
                  <c:v>835.19266804993049</c:v>
                </c:pt>
                <c:pt idx="28">
                  <c:v>845.34435941722006</c:v>
                </c:pt>
                <c:pt idx="29">
                  <c:v>854.8707337158454</c:v>
                </c:pt>
                <c:pt idx="30">
                  <c:v>863.81030880707101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A6-4136-83D0-BEA18CE74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4121920"/>
        <c:axId val="1604118176"/>
      </c:lineChart>
      <c:catAx>
        <c:axId val="160412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118176"/>
        <c:crosses val="autoZero"/>
        <c:auto val="1"/>
        <c:lblAlgn val="ctr"/>
        <c:lblOffset val="100"/>
        <c:noMultiLvlLbl val="0"/>
      </c:catAx>
      <c:valAx>
        <c:axId val="160411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12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206869</xdr:colOff>
      <xdr:row>0</xdr:row>
      <xdr:rowOff>139005</xdr:rowOff>
    </xdr:from>
    <xdr:to>
      <xdr:col>11</xdr:col>
      <xdr:colOff>194963</xdr:colOff>
      <xdr:row>16</xdr:row>
      <xdr:rowOff>24705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196948</xdr:colOff>
      <xdr:row>16</xdr:row>
      <xdr:rowOff>129083</xdr:rowOff>
    </xdr:from>
    <xdr:to>
      <xdr:col>11</xdr:col>
      <xdr:colOff>185042</xdr:colOff>
      <xdr:row>32</xdr:row>
      <xdr:rowOff>14783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opLeftCell="A23" zoomScale="196" workbookViewId="0">
      <selection activeCell="H15" sqref="H15"/>
    </sheetView>
  </sheetViews>
  <sheetFormatPr baseColWidth="10" defaultRowHeight="14.25" x14ac:dyDescent="0.45"/>
  <cols>
    <col min="1" max="16384" width="10.6640625" style="12"/>
  </cols>
  <sheetData>
    <row r="1" spans="1:6" x14ac:dyDescent="0.45">
      <c r="A1" s="7"/>
      <c r="B1" s="8" t="s">
        <v>0</v>
      </c>
      <c r="C1" s="9" t="s">
        <v>1</v>
      </c>
      <c r="D1" s="10" t="s">
        <v>2</v>
      </c>
      <c r="E1" s="11" t="s">
        <v>3</v>
      </c>
      <c r="F1" s="7" t="s">
        <v>5</v>
      </c>
    </row>
    <row r="2" spans="1:6" x14ac:dyDescent="0.45">
      <c r="A2" s="8" t="s">
        <v>0</v>
      </c>
      <c r="B2" s="12">
        <v>0.65</v>
      </c>
      <c r="C2" s="12">
        <v>0.2</v>
      </c>
      <c r="D2" s="12">
        <v>0.1</v>
      </c>
      <c r="E2" s="12">
        <v>0.05</v>
      </c>
      <c r="F2" s="12">
        <f>SUM(B2:E2)</f>
        <v>1</v>
      </c>
    </row>
    <row r="3" spans="1:6" x14ac:dyDescent="0.45">
      <c r="A3" s="9" t="s">
        <v>1</v>
      </c>
      <c r="B3" s="12">
        <v>0.25</v>
      </c>
      <c r="C3" s="12">
        <v>0.45</v>
      </c>
      <c r="D3" s="12">
        <v>0.2</v>
      </c>
      <c r="E3" s="12">
        <v>0.1</v>
      </c>
      <c r="F3" s="12">
        <f t="shared" ref="F3:F5" si="0">SUM(B3:E3)</f>
        <v>0.99999999999999989</v>
      </c>
    </row>
    <row r="4" spans="1:6" x14ac:dyDescent="0.45">
      <c r="A4" s="10" t="s">
        <v>2</v>
      </c>
      <c r="B4" s="12">
        <v>0.1</v>
      </c>
      <c r="C4" s="12">
        <v>0.2</v>
      </c>
      <c r="D4" s="12">
        <v>0.4</v>
      </c>
      <c r="E4" s="12">
        <v>0.3</v>
      </c>
      <c r="F4" s="12">
        <f t="shared" si="0"/>
        <v>1</v>
      </c>
    </row>
    <row r="5" spans="1:6" x14ac:dyDescent="0.45">
      <c r="A5" s="11" t="s">
        <v>3</v>
      </c>
      <c r="B5" s="12">
        <v>0</v>
      </c>
      <c r="C5" s="12">
        <v>0</v>
      </c>
      <c r="D5" s="12">
        <v>0</v>
      </c>
      <c r="E5" s="12">
        <v>1</v>
      </c>
      <c r="F5" s="12">
        <f t="shared" si="0"/>
        <v>1</v>
      </c>
    </row>
    <row r="6" spans="1:6" x14ac:dyDescent="0.45">
      <c r="A6" s="7"/>
    </row>
    <row r="8" spans="1:6" s="7" customFormat="1" x14ac:dyDescent="0.45">
      <c r="A8" s="7" t="s">
        <v>4</v>
      </c>
      <c r="B8" s="8" t="s">
        <v>0</v>
      </c>
      <c r="C8" s="9" t="s">
        <v>1</v>
      </c>
      <c r="D8" s="10" t="s">
        <v>2</v>
      </c>
      <c r="E8" s="11" t="s">
        <v>3</v>
      </c>
      <c r="F8" s="7" t="s">
        <v>5</v>
      </c>
    </row>
    <row r="9" spans="1:6" x14ac:dyDescent="0.45">
      <c r="A9" s="12">
        <v>0</v>
      </c>
      <c r="B9" s="12">
        <v>500</v>
      </c>
      <c r="C9" s="12">
        <v>300</v>
      </c>
      <c r="D9" s="12">
        <v>150</v>
      </c>
      <c r="E9" s="12">
        <v>50</v>
      </c>
      <c r="F9" s="12">
        <f>SUM(A9:E9)</f>
        <v>1000</v>
      </c>
    </row>
    <row r="10" spans="1:6" x14ac:dyDescent="0.45">
      <c r="A10" s="12">
        <v>1</v>
      </c>
      <c r="B10" s="12">
        <f t="shared" ref="B10:B21" si="1">B9*$B$2 + C9*$B$3 + D9*$B$4 + E9*$B$5</f>
        <v>415</v>
      </c>
      <c r="C10" s="12">
        <f t="shared" ref="C10:C21" si="2">B9*$C$2 + C9*$C$3 + D9*$C$4 + E9*$C$5</f>
        <v>265</v>
      </c>
      <c r="D10" s="12">
        <f t="shared" ref="D10:D21" si="3">B9*$D$2 + C9*$D$3 + D9*$D$4 + E9*$D$5</f>
        <v>170</v>
      </c>
      <c r="E10" s="12">
        <f t="shared" ref="E10:E21" si="4">B9*$E$2 + C9*$E$3 + D9*$E$4 + E9*$E$5</f>
        <v>150</v>
      </c>
      <c r="F10" s="12">
        <f t="shared" ref="F10:F21" si="5">SUM(B10:E10)</f>
        <v>1000</v>
      </c>
    </row>
    <row r="11" spans="1:6" x14ac:dyDescent="0.45">
      <c r="A11" s="12">
        <v>2</v>
      </c>
      <c r="B11" s="12">
        <f t="shared" si="1"/>
        <v>353</v>
      </c>
      <c r="C11" s="12">
        <f t="shared" si="2"/>
        <v>236.25</v>
      </c>
      <c r="D11" s="12">
        <f t="shared" si="3"/>
        <v>162.5</v>
      </c>
      <c r="E11" s="12">
        <f t="shared" si="4"/>
        <v>248.25</v>
      </c>
      <c r="F11" s="12">
        <f t="shared" si="5"/>
        <v>1000</v>
      </c>
    </row>
    <row r="12" spans="1:6" x14ac:dyDescent="0.45">
      <c r="A12" s="12">
        <v>3</v>
      </c>
      <c r="B12" s="12">
        <f t="shared" si="1"/>
        <v>304.76250000000005</v>
      </c>
      <c r="C12" s="12">
        <f t="shared" si="2"/>
        <v>209.41250000000002</v>
      </c>
      <c r="D12" s="12">
        <f t="shared" si="3"/>
        <v>147.55000000000001</v>
      </c>
      <c r="E12" s="12">
        <f t="shared" si="4"/>
        <v>338.27499999999998</v>
      </c>
      <c r="F12" s="12">
        <f t="shared" si="5"/>
        <v>1000.0000000000001</v>
      </c>
    </row>
    <row r="13" spans="1:6" x14ac:dyDescent="0.45">
      <c r="A13" s="12">
        <v>4</v>
      </c>
      <c r="B13" s="12">
        <f t="shared" si="1"/>
        <v>265.20375000000007</v>
      </c>
      <c r="C13" s="12">
        <f t="shared" si="2"/>
        <v>184.698125</v>
      </c>
      <c r="D13" s="12">
        <f t="shared" si="3"/>
        <v>131.37875000000003</v>
      </c>
      <c r="E13" s="12">
        <f t="shared" si="4"/>
        <v>418.71937500000001</v>
      </c>
      <c r="F13" s="12">
        <f t="shared" si="5"/>
        <v>1000.0000000000001</v>
      </c>
    </row>
    <row r="14" spans="1:6" x14ac:dyDescent="0.45">
      <c r="A14" s="12">
        <v>5</v>
      </c>
      <c r="B14" s="12">
        <f t="shared" si="1"/>
        <v>231.69484375000008</v>
      </c>
      <c r="C14" s="12">
        <f t="shared" si="2"/>
        <v>162.43065625000003</v>
      </c>
      <c r="D14" s="12">
        <f t="shared" si="3"/>
        <v>116.01150000000001</v>
      </c>
      <c r="E14" s="12">
        <f t="shared" si="4"/>
        <v>489.86300000000006</v>
      </c>
      <c r="F14" s="12">
        <f t="shared" si="5"/>
        <v>1000.0000000000002</v>
      </c>
    </row>
    <row r="15" spans="1:6" x14ac:dyDescent="0.45">
      <c r="A15" s="12">
        <v>6</v>
      </c>
      <c r="B15" s="12">
        <f t="shared" si="1"/>
        <v>202.81046250000006</v>
      </c>
      <c r="C15" s="12">
        <f t="shared" si="2"/>
        <v>142.63506406250005</v>
      </c>
      <c r="D15" s="12">
        <f t="shared" si="3"/>
        <v>102.06021562500003</v>
      </c>
      <c r="E15" s="12">
        <f t="shared" si="4"/>
        <v>552.49425781250011</v>
      </c>
      <c r="F15" s="12">
        <f t="shared" si="5"/>
        <v>1000.0000000000002</v>
      </c>
    </row>
    <row r="16" spans="1:6" x14ac:dyDescent="0.45">
      <c r="A16" s="12">
        <v>7</v>
      </c>
      <c r="B16" s="12">
        <f t="shared" si="1"/>
        <v>177.69158820312506</v>
      </c>
      <c r="C16" s="12">
        <f t="shared" si="2"/>
        <v>125.15991445312504</v>
      </c>
      <c r="D16" s="12">
        <f t="shared" si="3"/>
        <v>89.632145312500029</v>
      </c>
      <c r="E16" s="12">
        <f t="shared" si="4"/>
        <v>607.51635203125011</v>
      </c>
      <c r="F16" s="12">
        <f t="shared" si="5"/>
        <v>1000.0000000000002</v>
      </c>
    </row>
    <row r="17" spans="1:6" x14ac:dyDescent="0.45">
      <c r="A17" s="12">
        <v>8</v>
      </c>
      <c r="B17" s="12">
        <f t="shared" si="1"/>
        <v>155.75272547656255</v>
      </c>
      <c r="C17" s="12">
        <f t="shared" si="2"/>
        <v>109.7867082070313</v>
      </c>
      <c r="D17" s="12">
        <f t="shared" si="3"/>
        <v>78.653999835937526</v>
      </c>
      <c r="E17" s="12">
        <f t="shared" si="4"/>
        <v>655.80656648046886</v>
      </c>
      <c r="F17" s="12">
        <f t="shared" si="5"/>
        <v>1000.0000000000002</v>
      </c>
    </row>
    <row r="18" spans="1:6" x14ac:dyDescent="0.45">
      <c r="A18" s="12">
        <v>9</v>
      </c>
      <c r="B18" s="12">
        <f t="shared" si="1"/>
        <v>136.55134859511725</v>
      </c>
      <c r="C18" s="12">
        <f t="shared" si="2"/>
        <v>96.285363755664108</v>
      </c>
      <c r="D18" s="12">
        <f t="shared" si="3"/>
        <v>68.99421412343753</v>
      </c>
      <c r="E18" s="12">
        <f t="shared" si="4"/>
        <v>698.16907352578141</v>
      </c>
      <c r="F18" s="12">
        <f t="shared" si="5"/>
        <v>1000.0000000000002</v>
      </c>
    </row>
    <row r="19" spans="1:6" x14ac:dyDescent="0.45">
      <c r="A19" s="12">
        <v>10</v>
      </c>
      <c r="B19" s="12">
        <f t="shared" si="1"/>
        <v>119.729138938086</v>
      </c>
      <c r="C19" s="12">
        <f t="shared" si="2"/>
        <v>84.437526233759812</v>
      </c>
      <c r="D19" s="12">
        <f t="shared" si="3"/>
        <v>60.509893260019567</v>
      </c>
      <c r="E19" s="12">
        <f t="shared" si="4"/>
        <v>735.32344156813497</v>
      </c>
      <c r="F19" s="12">
        <f t="shared" si="5"/>
        <v>1000.0000000000003</v>
      </c>
    </row>
    <row r="20" spans="1:6" x14ac:dyDescent="0.45">
      <c r="A20" s="12">
        <v>11</v>
      </c>
      <c r="B20" s="12">
        <f t="shared" si="1"/>
        <v>104.9843111941978</v>
      </c>
      <c r="C20" s="12">
        <f t="shared" si="2"/>
        <v>74.044693244813033</v>
      </c>
      <c r="D20" s="12">
        <f t="shared" si="3"/>
        <v>53.064376444568396</v>
      </c>
      <c r="E20" s="12">
        <f t="shared" si="4"/>
        <v>767.9066191164211</v>
      </c>
      <c r="F20" s="12">
        <f t="shared" si="5"/>
        <v>1000.0000000000003</v>
      </c>
    </row>
    <row r="21" spans="1:6" x14ac:dyDescent="0.45">
      <c r="A21" s="12">
        <v>12</v>
      </c>
      <c r="B21" s="12">
        <f t="shared" si="1"/>
        <v>92.057413231888674</v>
      </c>
      <c r="C21" s="12">
        <f t="shared" si="2"/>
        <v>64.929849487919114</v>
      </c>
      <c r="D21" s="12">
        <f t="shared" si="3"/>
        <v>46.533120346209742</v>
      </c>
      <c r="E21" s="12">
        <f t="shared" si="4"/>
        <v>796.47961693398281</v>
      </c>
      <c r="F21" s="12">
        <f t="shared" si="5"/>
        <v>1000.0000000000003</v>
      </c>
    </row>
    <row r="22" spans="1:6" x14ac:dyDescent="0.45">
      <c r="A22" s="12">
        <v>13</v>
      </c>
      <c r="B22" s="12">
        <f t="shared" ref="B22:B39" si="6">B21*$B$2 + C21*$B$3 + D21*$B$4 + E21*$B$5</f>
        <v>80.723093007328401</v>
      </c>
      <c r="C22" s="12">
        <f t="shared" ref="C22:C39" si="7">B21*$C$2 + C21*$C$3 + D21*$C$4 + E21*$C$5</f>
        <v>56.93653898518329</v>
      </c>
      <c r="D22" s="12">
        <f t="shared" ref="D22:D39" si="8">B21*$D$2 + C21*$D$3 + D21*$D$4 + E21*$D$5</f>
        <v>40.804959359256586</v>
      </c>
      <c r="E22" s="12">
        <f t="shared" ref="E22:E39" si="9">B21*$E$2 + C21*$E$3 + D21*$E$4 + E21*$E$5</f>
        <v>821.53540864823208</v>
      </c>
      <c r="F22" s="12">
        <f t="shared" ref="F22:F39" si="10">SUM(B22:E22)</f>
        <v>1000.0000000000003</v>
      </c>
    </row>
    <row r="23" spans="1:6" x14ac:dyDescent="0.45">
      <c r="A23" s="12">
        <v>14</v>
      </c>
      <c r="B23" s="12">
        <f t="shared" si="6"/>
        <v>70.784641136984931</v>
      </c>
      <c r="C23" s="12">
        <f t="shared" si="7"/>
        <v>49.927053016649474</v>
      </c>
      <c r="D23" s="12">
        <f t="shared" si="8"/>
        <v>35.781600841472134</v>
      </c>
      <c r="E23" s="12">
        <f t="shared" si="9"/>
        <v>843.50670500489377</v>
      </c>
      <c r="F23" s="12">
        <f t="shared" si="10"/>
        <v>1000.0000000000003</v>
      </c>
    </row>
    <row r="24" spans="1:6" x14ac:dyDescent="0.45">
      <c r="A24" s="12">
        <v>15</v>
      </c>
      <c r="B24" s="12">
        <f t="shared" si="6"/>
        <v>62.069940077349784</v>
      </c>
      <c r="C24" s="12">
        <f t="shared" si="7"/>
        <v>43.78042225318368</v>
      </c>
      <c r="D24" s="12">
        <f t="shared" si="8"/>
        <v>31.376515053617247</v>
      </c>
      <c r="E24" s="12">
        <f t="shared" si="9"/>
        <v>862.77312261584962</v>
      </c>
      <c r="F24" s="12">
        <f t="shared" si="10"/>
        <v>1000.0000000000003</v>
      </c>
    </row>
    <row r="25" spans="1:6" x14ac:dyDescent="0.45">
      <c r="A25" s="12">
        <v>16</v>
      </c>
      <c r="B25" s="12">
        <f t="shared" si="6"/>
        <v>54.428218118935</v>
      </c>
      <c r="C25" s="12">
        <f t="shared" si="7"/>
        <v>38.390481040126062</v>
      </c>
      <c r="D25" s="12">
        <f t="shared" si="8"/>
        <v>27.513684479818615</v>
      </c>
      <c r="E25" s="12">
        <f t="shared" si="9"/>
        <v>879.66761636112062</v>
      </c>
      <c r="F25" s="12">
        <f t="shared" si="10"/>
        <v>1000.0000000000002</v>
      </c>
    </row>
    <row r="26" spans="1:6" x14ac:dyDescent="0.45">
      <c r="A26" s="12">
        <v>17</v>
      </c>
      <c r="B26" s="12">
        <f t="shared" si="6"/>
        <v>47.727330485321133</v>
      </c>
      <c r="C26" s="12">
        <f t="shared" si="7"/>
        <v>33.664096987807454</v>
      </c>
      <c r="D26" s="12">
        <f t="shared" si="8"/>
        <v>24.126391811846162</v>
      </c>
      <c r="E26" s="12">
        <f t="shared" si="9"/>
        <v>894.48218071502561</v>
      </c>
      <c r="F26" s="12">
        <f t="shared" si="10"/>
        <v>1000.0000000000003</v>
      </c>
    </row>
    <row r="27" spans="1:6" x14ac:dyDescent="0.45">
      <c r="A27" s="12">
        <v>18</v>
      </c>
      <c r="B27" s="12">
        <f t="shared" si="6"/>
        <v>41.851428243595215</v>
      </c>
      <c r="C27" s="12">
        <f t="shared" si="7"/>
        <v>29.519588103946813</v>
      </c>
      <c r="D27" s="12">
        <f t="shared" si="8"/>
        <v>21.156109170832067</v>
      </c>
      <c r="E27" s="12">
        <f t="shared" si="9"/>
        <v>907.47287448162626</v>
      </c>
      <c r="F27" s="12">
        <f t="shared" si="10"/>
        <v>1000.0000000000003</v>
      </c>
    </row>
    <row r="28" spans="1:6" x14ac:dyDescent="0.45">
      <c r="A28" s="12">
        <v>19</v>
      </c>
      <c r="B28" s="12">
        <f t="shared" si="6"/>
        <v>36.698936301406803</v>
      </c>
      <c r="C28" s="12">
        <f t="shared" si="7"/>
        <v>25.885322129661525</v>
      </c>
      <c r="D28" s="12">
        <f t="shared" si="8"/>
        <v>18.551504113481712</v>
      </c>
      <c r="E28" s="12">
        <f t="shared" si="9"/>
        <v>918.86423745545028</v>
      </c>
      <c r="F28" s="12">
        <f t="shared" si="10"/>
        <v>1000.0000000000003</v>
      </c>
    </row>
    <row r="29" spans="1:6" x14ac:dyDescent="0.45">
      <c r="A29" s="12">
        <v>20</v>
      </c>
      <c r="B29" s="12">
        <f t="shared" si="6"/>
        <v>32.180789539677974</v>
      </c>
      <c r="C29" s="12">
        <f t="shared" si="7"/>
        <v>22.698483041325392</v>
      </c>
      <c r="D29" s="12">
        <f t="shared" si="8"/>
        <v>16.267559701465672</v>
      </c>
      <c r="E29" s="12">
        <f t="shared" si="9"/>
        <v>928.85316771753128</v>
      </c>
      <c r="F29" s="12">
        <f t="shared" si="10"/>
        <v>1000.0000000000003</v>
      </c>
    </row>
    <row r="30" spans="1:6" x14ac:dyDescent="0.45">
      <c r="A30" s="12">
        <v>21</v>
      </c>
      <c r="B30" s="12">
        <f t="shared" si="6"/>
        <v>28.218889931268599</v>
      </c>
      <c r="C30" s="12">
        <f t="shared" si="7"/>
        <v>19.903987216825154</v>
      </c>
      <c r="D30" s="12">
        <f t="shared" si="8"/>
        <v>14.264799442819145</v>
      </c>
      <c r="E30" s="12">
        <f t="shared" si="9"/>
        <v>937.61232340908737</v>
      </c>
      <c r="F30" s="12">
        <f t="shared" si="10"/>
        <v>1000.0000000000002</v>
      </c>
    </row>
    <row r="31" spans="1:6" x14ac:dyDescent="0.45">
      <c r="A31" s="12">
        <v>22</v>
      </c>
      <c r="B31" s="12">
        <f t="shared" si="6"/>
        <v>24.744755203812794</v>
      </c>
      <c r="C31" s="12">
        <f t="shared" si="7"/>
        <v>17.453532122388872</v>
      </c>
      <c r="D31" s="12">
        <f t="shared" si="8"/>
        <v>12.508606213619549</v>
      </c>
      <c r="E31" s="12">
        <f t="shared" si="9"/>
        <v>945.29310646017905</v>
      </c>
      <c r="F31" s="12">
        <f t="shared" si="10"/>
        <v>1000.0000000000002</v>
      </c>
    </row>
    <row r="32" spans="1:6" x14ac:dyDescent="0.45">
      <c r="A32" s="12">
        <v>23</v>
      </c>
      <c r="B32" s="12">
        <f t="shared" si="6"/>
        <v>21.698334534437489</v>
      </c>
      <c r="C32" s="12">
        <f t="shared" si="7"/>
        <v>15.30476173856146</v>
      </c>
      <c r="D32" s="12">
        <f t="shared" si="8"/>
        <v>10.968624430306875</v>
      </c>
      <c r="E32" s="12">
        <f t="shared" si="9"/>
        <v>952.02827929669445</v>
      </c>
      <c r="F32" s="12">
        <f t="shared" si="10"/>
        <v>1000.0000000000002</v>
      </c>
    </row>
    <row r="33" spans="1:6" x14ac:dyDescent="0.45">
      <c r="A33" s="12">
        <v>24</v>
      </c>
      <c r="B33" s="12">
        <f t="shared" si="6"/>
        <v>19.026970325055423</v>
      </c>
      <c r="C33" s="12">
        <f t="shared" si="7"/>
        <v>13.420534575301531</v>
      </c>
      <c r="D33" s="12">
        <f t="shared" si="8"/>
        <v>9.6182355732787919</v>
      </c>
      <c r="E33" s="12">
        <f t="shared" si="9"/>
        <v>957.93425952636449</v>
      </c>
      <c r="F33" s="12">
        <f t="shared" si="10"/>
        <v>1000.0000000000002</v>
      </c>
    </row>
    <row r="34" spans="1:6" x14ac:dyDescent="0.45">
      <c r="A34" s="12">
        <v>25</v>
      </c>
      <c r="B34" s="12">
        <f t="shared" si="6"/>
        <v>16.684487912439288</v>
      </c>
      <c r="C34" s="12">
        <f t="shared" si="7"/>
        <v>11.768281738552531</v>
      </c>
      <c r="D34" s="12">
        <f t="shared" si="8"/>
        <v>8.4340981768773666</v>
      </c>
      <c r="E34" s="12">
        <f t="shared" si="9"/>
        <v>963.11313217213103</v>
      </c>
      <c r="F34" s="12">
        <f t="shared" si="10"/>
        <v>1000.0000000000002</v>
      </c>
    </row>
    <row r="35" spans="1:6" x14ac:dyDescent="0.45">
      <c r="A35" s="12">
        <v>26</v>
      </c>
      <c r="B35" s="12">
        <f t="shared" si="6"/>
        <v>14.630397395411407</v>
      </c>
      <c r="C35" s="12">
        <f t="shared" si="7"/>
        <v>10.31944400021197</v>
      </c>
      <c r="D35" s="12">
        <f t="shared" si="8"/>
        <v>7.3957444097053822</v>
      </c>
      <c r="E35" s="12">
        <f t="shared" si="9"/>
        <v>967.6544141946714</v>
      </c>
      <c r="F35" s="12">
        <f t="shared" si="10"/>
        <v>1000.0000000000001</v>
      </c>
    </row>
    <row r="36" spans="1:6" x14ac:dyDescent="0.45">
      <c r="A36" s="12">
        <v>27</v>
      </c>
      <c r="B36" s="12">
        <f t="shared" si="6"/>
        <v>12.829193748040945</v>
      </c>
      <c r="C36" s="12">
        <f t="shared" si="7"/>
        <v>9.048978161118745</v>
      </c>
      <c r="D36" s="12">
        <f t="shared" si="8"/>
        <v>6.4852263034656881</v>
      </c>
      <c r="E36" s="12">
        <f t="shared" si="9"/>
        <v>971.63660178737473</v>
      </c>
      <c r="F36" s="12">
        <f t="shared" si="10"/>
        <v>1000.0000000000001</v>
      </c>
    </row>
    <row r="37" spans="1:6" x14ac:dyDescent="0.45">
      <c r="A37" s="12">
        <v>28</v>
      </c>
      <c r="B37" s="12">
        <f t="shared" si="6"/>
        <v>11.24974310685287</v>
      </c>
      <c r="C37" s="12">
        <f t="shared" si="7"/>
        <v>7.9349241828047621</v>
      </c>
      <c r="D37" s="12">
        <f t="shared" si="8"/>
        <v>5.6868055284141192</v>
      </c>
      <c r="E37" s="12">
        <f t="shared" si="9"/>
        <v>975.12852718192835</v>
      </c>
      <c r="F37" s="12">
        <f t="shared" si="10"/>
        <v>1000.0000000000001</v>
      </c>
    </row>
    <row r="38" spans="1:6" x14ac:dyDescent="0.45">
      <c r="A38" s="12">
        <v>29</v>
      </c>
      <c r="B38" s="12">
        <f t="shared" si="6"/>
        <v>9.8647446179969691</v>
      </c>
      <c r="C38" s="12">
        <f t="shared" si="7"/>
        <v>6.9580256093155404</v>
      </c>
      <c r="D38" s="12">
        <f t="shared" si="8"/>
        <v>4.9866813586118877</v>
      </c>
      <c r="E38" s="12">
        <f t="shared" si="9"/>
        <v>978.19054841407569</v>
      </c>
      <c r="F38" s="12">
        <f t="shared" si="10"/>
        <v>1000.0000000000001</v>
      </c>
    </row>
    <row r="39" spans="1:6" x14ac:dyDescent="0.45">
      <c r="A39" s="12">
        <v>30</v>
      </c>
      <c r="B39" s="12">
        <f t="shared" si="6"/>
        <v>8.6502585398881049</v>
      </c>
      <c r="C39" s="12">
        <f t="shared" si="7"/>
        <v>6.1013967195137644</v>
      </c>
      <c r="D39" s="12">
        <f t="shared" si="8"/>
        <v>4.3727521271075602</v>
      </c>
      <c r="E39" s="12">
        <f t="shared" si="9"/>
        <v>980.87559261349065</v>
      </c>
      <c r="F39" s="12">
        <f t="shared" si="10"/>
        <v>1000.0000000000001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opLeftCell="B3" zoomScale="172" workbookViewId="0">
      <selection activeCell="B7" sqref="B7"/>
    </sheetView>
  </sheetViews>
  <sheetFormatPr baseColWidth="10" defaultRowHeight="14.25" x14ac:dyDescent="0.45"/>
  <cols>
    <col min="1" max="16384" width="10.6640625" style="6"/>
  </cols>
  <sheetData>
    <row r="1" spans="1:6" s="1" customFormat="1" x14ac:dyDescent="0.45">
      <c r="B1" s="2" t="s">
        <v>0</v>
      </c>
      <c r="C1" s="3" t="s">
        <v>1</v>
      </c>
      <c r="D1" s="4" t="s">
        <v>2</v>
      </c>
      <c r="E1" s="5" t="s">
        <v>3</v>
      </c>
      <c r="F1" s="1" t="s">
        <v>5</v>
      </c>
    </row>
    <row r="2" spans="1:6" x14ac:dyDescent="0.45">
      <c r="A2" s="2" t="s">
        <v>0</v>
      </c>
      <c r="B2" s="6">
        <v>0.8</v>
      </c>
      <c r="C2" s="1">
        <v>0.12</v>
      </c>
      <c r="D2" s="6">
        <v>0.05</v>
      </c>
      <c r="E2" s="1">
        <v>0.03</v>
      </c>
      <c r="F2" s="6">
        <f>SUM(B2:E2)</f>
        <v>1</v>
      </c>
    </row>
    <row r="3" spans="1:6" x14ac:dyDescent="0.45">
      <c r="A3" s="3" t="s">
        <v>1</v>
      </c>
      <c r="B3" s="6">
        <v>0.4</v>
      </c>
      <c r="C3" s="1">
        <v>0.35</v>
      </c>
      <c r="D3" s="1">
        <v>0.15</v>
      </c>
      <c r="E3" s="6">
        <v>0.1</v>
      </c>
      <c r="F3" s="6">
        <f t="shared" ref="F3:F5" si="0">SUM(B3:E3)</f>
        <v>1</v>
      </c>
    </row>
    <row r="4" spans="1:6" x14ac:dyDescent="0.45">
      <c r="A4" s="4" t="s">
        <v>2</v>
      </c>
      <c r="B4" s="1">
        <v>0.2</v>
      </c>
      <c r="C4" s="1">
        <v>0.25</v>
      </c>
      <c r="D4" s="1">
        <v>0.35</v>
      </c>
      <c r="E4" s="1">
        <v>0.2</v>
      </c>
      <c r="F4" s="6">
        <f t="shared" si="0"/>
        <v>1</v>
      </c>
    </row>
    <row r="5" spans="1:6" x14ac:dyDescent="0.45">
      <c r="A5" s="5" t="s">
        <v>3</v>
      </c>
      <c r="B5" s="6">
        <v>0</v>
      </c>
      <c r="C5" s="6">
        <v>0</v>
      </c>
      <c r="D5" s="6">
        <v>0</v>
      </c>
      <c r="E5" s="6">
        <v>1</v>
      </c>
      <c r="F5" s="6">
        <f t="shared" si="0"/>
        <v>1</v>
      </c>
    </row>
    <row r="8" spans="1:6" s="1" customFormat="1" x14ac:dyDescent="0.45">
      <c r="A8" s="1" t="s">
        <v>4</v>
      </c>
      <c r="B8" s="2" t="s">
        <v>0</v>
      </c>
      <c r="C8" s="3" t="s">
        <v>1</v>
      </c>
      <c r="D8" s="4" t="s">
        <v>2</v>
      </c>
      <c r="E8" s="5" t="s">
        <v>3</v>
      </c>
      <c r="F8" s="1" t="s">
        <v>5</v>
      </c>
    </row>
    <row r="9" spans="1:6" x14ac:dyDescent="0.45">
      <c r="A9" s="6">
        <v>0</v>
      </c>
      <c r="B9" s="6">
        <v>500</v>
      </c>
      <c r="C9" s="6">
        <v>300</v>
      </c>
      <c r="D9" s="6">
        <v>150</v>
      </c>
      <c r="E9" s="6">
        <v>50</v>
      </c>
      <c r="F9" s="6">
        <f>SUM(A9:E9)</f>
        <v>1000</v>
      </c>
    </row>
    <row r="10" spans="1:6" x14ac:dyDescent="0.45">
      <c r="A10" s="6">
        <v>1</v>
      </c>
      <c r="B10" s="6">
        <f t="shared" ref="B10:B21" si="1">B9*$B$2 + C9*$B$3 + D9*$B$4 + E9*$B$5</f>
        <v>550</v>
      </c>
      <c r="C10" s="6">
        <f t="shared" ref="C10:C21" si="2">B9*$C$2 + C9*$C$3 + D9*$C$4 + E9*$C$5</f>
        <v>202.5</v>
      </c>
      <c r="D10" s="6">
        <f t="shared" ref="D10:D21" si="3">B9*$D$2 + C9*$D$3 + D9*$D$4 + E9*$D$5</f>
        <v>122.5</v>
      </c>
      <c r="E10" s="6">
        <f t="shared" ref="E10:E21" si="4">B9*$E$2 + C9*$E$3 + D9*$E$4 + E9*$E$5</f>
        <v>125</v>
      </c>
      <c r="F10" s="6">
        <f t="shared" ref="F10:F21" si="5">SUM(B10:E10)</f>
        <v>1000</v>
      </c>
    </row>
    <row r="11" spans="1:6" x14ac:dyDescent="0.45">
      <c r="A11" s="6">
        <v>2</v>
      </c>
      <c r="B11" s="6">
        <f t="shared" si="1"/>
        <v>545.5</v>
      </c>
      <c r="C11" s="6">
        <f t="shared" si="2"/>
        <v>167.5</v>
      </c>
      <c r="D11" s="6">
        <f t="shared" si="3"/>
        <v>100.75</v>
      </c>
      <c r="E11" s="6">
        <f t="shared" si="4"/>
        <v>186.25</v>
      </c>
      <c r="F11" s="6">
        <f t="shared" si="5"/>
        <v>1000</v>
      </c>
    </row>
    <row r="12" spans="1:6" x14ac:dyDescent="0.45">
      <c r="A12" s="6">
        <v>3</v>
      </c>
      <c r="B12" s="6">
        <f t="shared" si="1"/>
        <v>523.55000000000007</v>
      </c>
      <c r="C12" s="6">
        <f t="shared" si="2"/>
        <v>149.27249999999998</v>
      </c>
      <c r="D12" s="6">
        <f t="shared" si="3"/>
        <v>87.662499999999994</v>
      </c>
      <c r="E12" s="6">
        <f t="shared" si="4"/>
        <v>239.51499999999999</v>
      </c>
      <c r="F12" s="6">
        <f t="shared" si="5"/>
        <v>1000</v>
      </c>
    </row>
    <row r="13" spans="1:6" x14ac:dyDescent="0.45">
      <c r="A13" s="6">
        <v>4</v>
      </c>
      <c r="B13" s="6">
        <f t="shared" si="1"/>
        <v>496.08150000000012</v>
      </c>
      <c r="C13" s="6">
        <f t="shared" si="2"/>
        <v>136.98699999999999</v>
      </c>
      <c r="D13" s="6">
        <f t="shared" si="3"/>
        <v>79.250249999999994</v>
      </c>
      <c r="E13" s="6">
        <f t="shared" si="4"/>
        <v>287.68124999999998</v>
      </c>
      <c r="F13" s="6">
        <f t="shared" si="5"/>
        <v>1000.0000000000001</v>
      </c>
    </row>
    <row r="14" spans="1:6" x14ac:dyDescent="0.45">
      <c r="A14" s="6">
        <v>5</v>
      </c>
      <c r="B14" s="6">
        <f t="shared" si="1"/>
        <v>467.51005000000015</v>
      </c>
      <c r="C14" s="6">
        <f t="shared" si="2"/>
        <v>127.28779250000001</v>
      </c>
      <c r="D14" s="6">
        <f t="shared" si="3"/>
        <v>73.089712500000005</v>
      </c>
      <c r="E14" s="6">
        <f t="shared" si="4"/>
        <v>332.11244499999998</v>
      </c>
      <c r="F14" s="6">
        <f t="shared" si="5"/>
        <v>1000.0000000000001</v>
      </c>
    </row>
    <row r="15" spans="1:6" x14ac:dyDescent="0.45">
      <c r="A15" s="6">
        <v>6</v>
      </c>
      <c r="B15" s="6">
        <f t="shared" si="1"/>
        <v>439.5410995000002</v>
      </c>
      <c r="C15" s="6">
        <f t="shared" si="2"/>
        <v>118.92436150000003</v>
      </c>
      <c r="D15" s="6">
        <f t="shared" si="3"/>
        <v>68.050070750000017</v>
      </c>
      <c r="E15" s="6">
        <f t="shared" si="4"/>
        <v>373.48446824999996</v>
      </c>
      <c r="F15" s="6">
        <f t="shared" si="5"/>
        <v>1000.0000000000002</v>
      </c>
    </row>
    <row r="16" spans="1:6" x14ac:dyDescent="0.45">
      <c r="A16" s="6">
        <v>7</v>
      </c>
      <c r="B16" s="6">
        <f t="shared" si="1"/>
        <v>412.81263835000021</v>
      </c>
      <c r="C16" s="6">
        <f t="shared" si="2"/>
        <v>111.38097615250004</v>
      </c>
      <c r="D16" s="6">
        <f t="shared" si="3"/>
        <v>63.633233962500015</v>
      </c>
      <c r="E16" s="6">
        <f t="shared" si="4"/>
        <v>412.17315153499999</v>
      </c>
      <c r="F16" s="6">
        <f t="shared" si="5"/>
        <v>1000.0000000000002</v>
      </c>
    </row>
    <row r="17" spans="1:6" x14ac:dyDescent="0.45">
      <c r="A17" s="6">
        <v>8</v>
      </c>
      <c r="B17" s="6">
        <f t="shared" si="1"/>
        <v>387.52914793350021</v>
      </c>
      <c r="C17" s="6">
        <f t="shared" si="2"/>
        <v>104.42916674600004</v>
      </c>
      <c r="D17" s="6">
        <f t="shared" si="3"/>
        <v>59.619410227250015</v>
      </c>
      <c r="E17" s="6">
        <f t="shared" si="4"/>
        <v>448.42227509324999</v>
      </c>
      <c r="F17" s="6">
        <f t="shared" si="5"/>
        <v>1000.0000000000002</v>
      </c>
    </row>
    <row r="18" spans="1:6" x14ac:dyDescent="0.45">
      <c r="A18" s="6">
        <v>9</v>
      </c>
      <c r="B18" s="6">
        <f t="shared" si="1"/>
        <v>363.71886709065018</v>
      </c>
      <c r="C18" s="6">
        <f t="shared" si="2"/>
        <v>97.958558669932529</v>
      </c>
      <c r="D18" s="6">
        <f t="shared" si="3"/>
        <v>55.907625988112514</v>
      </c>
      <c r="E18" s="6">
        <f t="shared" si="4"/>
        <v>482.41494825130502</v>
      </c>
      <c r="F18" s="6">
        <f t="shared" si="5"/>
        <v>1000.0000000000002</v>
      </c>
    </row>
    <row r="19" spans="1:6" x14ac:dyDescent="0.45">
      <c r="A19" s="6">
        <v>10</v>
      </c>
      <c r="B19" s="6">
        <f t="shared" si="1"/>
        <v>341.34004233811561</v>
      </c>
      <c r="C19" s="6">
        <f t="shared" si="2"/>
        <v>91.908666082382524</v>
      </c>
      <c r="D19" s="6">
        <f t="shared" si="3"/>
        <v>52.447396250861765</v>
      </c>
      <c r="E19" s="6">
        <f t="shared" si="4"/>
        <v>514.30389532864024</v>
      </c>
      <c r="F19" s="6">
        <f t="shared" si="5"/>
        <v>1000.0000000000001</v>
      </c>
    </row>
    <row r="20" spans="1:6" x14ac:dyDescent="0.45">
      <c r="A20" s="6">
        <v>11</v>
      </c>
      <c r="B20" s="6">
        <f t="shared" si="1"/>
        <v>320.32497955361782</v>
      </c>
      <c r="C20" s="6">
        <f t="shared" si="2"/>
        <v>86.240687272123182</v>
      </c>
      <c r="D20" s="6">
        <f t="shared" si="3"/>
        <v>49.209890717064773</v>
      </c>
      <c r="E20" s="6">
        <f t="shared" si="4"/>
        <v>544.2244424571943</v>
      </c>
      <c r="F20" s="6">
        <f t="shared" si="5"/>
        <v>1000</v>
      </c>
    </row>
    <row r="21" spans="1:6" x14ac:dyDescent="0.45">
      <c r="A21" s="6">
        <v>12</v>
      </c>
      <c r="B21" s="6">
        <f t="shared" si="1"/>
        <v>300.59823669515652</v>
      </c>
      <c r="C21" s="6">
        <f t="shared" si="2"/>
        <v>80.925710770943439</v>
      </c>
      <c r="D21" s="6">
        <f t="shared" si="3"/>
        <v>46.17581381947204</v>
      </c>
      <c r="E21" s="6">
        <f t="shared" si="4"/>
        <v>572.30023871442813</v>
      </c>
      <c r="F21" s="6">
        <f t="shared" si="5"/>
        <v>1000.0000000000001</v>
      </c>
    </row>
    <row r="22" spans="1:6" x14ac:dyDescent="0.45">
      <c r="A22" s="6">
        <v>13</v>
      </c>
      <c r="B22" s="6">
        <f t="shared" ref="B22:B39" si="6">B21*$B$2 + C21*$B$3 + D21*$B$4 + E21*$B$5</f>
        <v>282.08403642839698</v>
      </c>
      <c r="C22" s="6">
        <f t="shared" ref="C22:C39" si="7">B21*$C$2 + C21*$C$3 + D21*$C$4 + E21*$C$5</f>
        <v>75.939740628116994</v>
      </c>
      <c r="D22" s="6">
        <f t="shared" ref="D22:D39" si="8">B21*$D$2 + C21*$D$3 + D21*$D$4 + E21*$D$5</f>
        <v>43.330303287214555</v>
      </c>
      <c r="E22" s="6">
        <f t="shared" ref="E22:E39" si="9">B21*$E$2 + C21*$E$3 + D21*$E$4 + E21*$E$5</f>
        <v>598.64591965627153</v>
      </c>
      <c r="F22" s="6">
        <f t="shared" ref="F22:F39" si="10">SUM(B22:E22)</f>
        <v>1000</v>
      </c>
    </row>
    <row r="23" spans="1:6" x14ac:dyDescent="0.45">
      <c r="A23" s="6">
        <v>14</v>
      </c>
      <c r="B23" s="6">
        <f t="shared" si="6"/>
        <v>264.7091860514073</v>
      </c>
      <c r="C23" s="6">
        <f t="shared" si="7"/>
        <v>71.261569413052229</v>
      </c>
      <c r="D23" s="6">
        <f t="shared" si="8"/>
        <v>40.660769066162487</v>
      </c>
      <c r="E23" s="6">
        <f t="shared" si="9"/>
        <v>623.36847546937804</v>
      </c>
      <c r="F23" s="6">
        <f t="shared" si="10"/>
        <v>1000.0000000000001</v>
      </c>
    </row>
    <row r="24" spans="1:6" x14ac:dyDescent="0.45">
      <c r="A24" s="6">
        <v>15</v>
      </c>
      <c r="B24" s="6">
        <f t="shared" si="6"/>
        <v>248.40413041957925</v>
      </c>
      <c r="C24" s="6">
        <f t="shared" si="7"/>
        <v>66.871843887277777</v>
      </c>
      <c r="D24" s="6">
        <f t="shared" si="8"/>
        <v>38.155963887685068</v>
      </c>
      <c r="E24" s="6">
        <f t="shared" si="9"/>
        <v>646.568061805458</v>
      </c>
      <c r="F24" s="6">
        <f t="shared" si="10"/>
        <v>1000.0000000000001</v>
      </c>
    </row>
    <row r="25" spans="1:6" x14ac:dyDescent="0.45">
      <c r="A25" s="6">
        <v>16</v>
      </c>
      <c r="B25" s="6">
        <f t="shared" si="6"/>
        <v>233.10323466811155</v>
      </c>
      <c r="C25" s="6">
        <f t="shared" si="7"/>
        <v>62.752631982817995</v>
      </c>
      <c r="D25" s="6">
        <f t="shared" si="8"/>
        <v>35.805570464760407</v>
      </c>
      <c r="E25" s="6">
        <f t="shared" si="9"/>
        <v>668.33856288431014</v>
      </c>
      <c r="F25" s="6">
        <f t="shared" si="10"/>
        <v>1000.0000000000001</v>
      </c>
    </row>
    <row r="26" spans="1:6" x14ac:dyDescent="0.45">
      <c r="A26" s="6">
        <v>17</v>
      </c>
      <c r="B26" s="6">
        <f t="shared" si="6"/>
        <v>218.74475462056853</v>
      </c>
      <c r="C26" s="6">
        <f t="shared" si="7"/>
        <v>58.887201970349778</v>
      </c>
      <c r="D26" s="6">
        <f t="shared" si="8"/>
        <v>33.600006193494416</v>
      </c>
      <c r="E26" s="6">
        <f t="shared" si="9"/>
        <v>688.76803721558736</v>
      </c>
      <c r="F26" s="6">
        <f t="shared" si="10"/>
        <v>1000.0000000000001</v>
      </c>
    </row>
    <row r="27" spans="1:6" x14ac:dyDescent="0.45">
      <c r="A27" s="6">
        <v>18</v>
      </c>
      <c r="B27" s="6">
        <f t="shared" si="6"/>
        <v>205.27068572329361</v>
      </c>
      <c r="C27" s="6">
        <f t="shared" si="7"/>
        <v>55.25989279246425</v>
      </c>
      <c r="D27" s="6">
        <f t="shared" si="8"/>
        <v>31.53032019430394</v>
      </c>
      <c r="E27" s="6">
        <f t="shared" si="9"/>
        <v>707.93910128993832</v>
      </c>
      <c r="F27" s="6">
        <f t="shared" si="10"/>
        <v>1000.0000000000001</v>
      </c>
    </row>
    <row r="28" spans="1:6" x14ac:dyDescent="0.45">
      <c r="A28" s="6">
        <v>19</v>
      </c>
      <c r="B28" s="6">
        <f t="shared" si="6"/>
        <v>192.62656973448139</v>
      </c>
      <c r="C28" s="6">
        <f t="shared" si="7"/>
        <v>51.856024812733708</v>
      </c>
      <c r="D28" s="6">
        <f t="shared" si="8"/>
        <v>29.588130273040697</v>
      </c>
      <c r="E28" s="6">
        <f t="shared" si="9"/>
        <v>725.92927517974431</v>
      </c>
      <c r="F28" s="6">
        <f t="shared" si="10"/>
        <v>1000.0000000000001</v>
      </c>
    </row>
    <row r="29" spans="1:6" x14ac:dyDescent="0.45">
      <c r="A29" s="6">
        <v>20</v>
      </c>
      <c r="B29" s="6">
        <f t="shared" si="6"/>
        <v>180.76129176728676</v>
      </c>
      <c r="C29" s="6">
        <f t="shared" si="7"/>
        <v>48.661829620854732</v>
      </c>
      <c r="D29" s="6">
        <f t="shared" si="8"/>
        <v>27.765577804198369</v>
      </c>
      <c r="E29" s="6">
        <f t="shared" si="9"/>
        <v>742.81130080766025</v>
      </c>
      <c r="F29" s="6">
        <f t="shared" si="10"/>
        <v>1000.0000000000001</v>
      </c>
    </row>
    <row r="30" spans="1:6" x14ac:dyDescent="0.45">
      <c r="A30" s="6">
        <v>21</v>
      </c>
      <c r="B30" s="6">
        <f t="shared" si="6"/>
        <v>169.62688082301099</v>
      </c>
      <c r="C30" s="6">
        <f t="shared" si="7"/>
        <v>45.664389830423154</v>
      </c>
      <c r="D30" s="6">
        <f t="shared" si="8"/>
        <v>26.055291262961976</v>
      </c>
      <c r="E30" s="6">
        <f t="shared" si="9"/>
        <v>758.65343808360399</v>
      </c>
      <c r="F30" s="6">
        <f t="shared" si="10"/>
        <v>1000.0000000000001</v>
      </c>
    </row>
    <row r="31" spans="1:6" x14ac:dyDescent="0.45">
      <c r="A31" s="6">
        <v>22</v>
      </c>
      <c r="B31" s="6">
        <f t="shared" si="6"/>
        <v>159.17831884317047</v>
      </c>
      <c r="C31" s="6">
        <f t="shared" si="7"/>
        <v>42.851584955149917</v>
      </c>
      <c r="D31" s="6">
        <f t="shared" si="8"/>
        <v>24.450354457750713</v>
      </c>
      <c r="E31" s="6">
        <f t="shared" si="9"/>
        <v>773.51974174392899</v>
      </c>
      <c r="F31" s="6">
        <f t="shared" si="10"/>
        <v>1000.0000000000001</v>
      </c>
    </row>
    <row r="32" spans="1:6" x14ac:dyDescent="0.45">
      <c r="A32" s="6">
        <v>23</v>
      </c>
      <c r="B32" s="6">
        <f t="shared" si="6"/>
        <v>149.37335994814649</v>
      </c>
      <c r="C32" s="6">
        <f t="shared" si="7"/>
        <v>40.212041609920604</v>
      </c>
      <c r="D32" s="6">
        <f t="shared" si="8"/>
        <v>22.94427774564376</v>
      </c>
      <c r="E32" s="6">
        <f t="shared" si="9"/>
        <v>787.47032069628926</v>
      </c>
      <c r="F32" s="6">
        <f t="shared" si="10"/>
        <v>1000.0000000000001</v>
      </c>
    </row>
    <row r="33" spans="1:6" x14ac:dyDescent="0.45">
      <c r="A33" s="6">
        <v>24</v>
      </c>
      <c r="B33" s="6">
        <f t="shared" si="6"/>
        <v>140.17236015161421</v>
      </c>
      <c r="C33" s="6">
        <f t="shared" si="7"/>
        <v>37.735087193660732</v>
      </c>
      <c r="D33" s="6">
        <f t="shared" si="8"/>
        <v>21.53097144987073</v>
      </c>
      <c r="E33" s="6">
        <f t="shared" si="9"/>
        <v>800.56158120485452</v>
      </c>
      <c r="F33" s="6">
        <f t="shared" si="10"/>
        <v>1000.0000000000002</v>
      </c>
    </row>
    <row r="34" spans="1:6" x14ac:dyDescent="0.45">
      <c r="A34" s="6">
        <v>25</v>
      </c>
      <c r="B34" s="6">
        <f t="shared" si="6"/>
        <v>131.53811728872984</v>
      </c>
      <c r="C34" s="6">
        <f t="shared" si="7"/>
        <v>35.410706598442637</v>
      </c>
      <c r="D34" s="6">
        <f t="shared" si="8"/>
        <v>20.204721094084576</v>
      </c>
      <c r="E34" s="6">
        <f t="shared" si="9"/>
        <v>812.8464550187432</v>
      </c>
      <c r="F34" s="6">
        <f t="shared" si="10"/>
        <v>1000.0000000000002</v>
      </c>
    </row>
    <row r="35" spans="1:6" x14ac:dyDescent="0.45">
      <c r="A35" s="6">
        <v>26</v>
      </c>
      <c r="B35" s="6">
        <f t="shared" si="6"/>
        <v>123.43572068917786</v>
      </c>
      <c r="C35" s="6">
        <f t="shared" si="7"/>
        <v>33.229501657623643</v>
      </c>
      <c r="D35" s="6">
        <f t="shared" si="8"/>
        <v>18.960164237132489</v>
      </c>
      <c r="E35" s="6">
        <f t="shared" si="9"/>
        <v>824.37461341606627</v>
      </c>
      <c r="F35" s="6">
        <f t="shared" si="10"/>
        <v>1000.0000000000002</v>
      </c>
    </row>
    <row r="36" spans="1:6" x14ac:dyDescent="0.45">
      <c r="A36" s="6">
        <v>27</v>
      </c>
      <c r="B36" s="6">
        <f t="shared" si="6"/>
        <v>115.83241006181825</v>
      </c>
      <c r="C36" s="6">
        <f t="shared" si="7"/>
        <v>31.18265312215274</v>
      </c>
      <c r="D36" s="6">
        <f t="shared" si="8"/>
        <v>17.792268766098811</v>
      </c>
      <c r="E36" s="6">
        <f t="shared" si="9"/>
        <v>835.19266804993049</v>
      </c>
      <c r="F36" s="6">
        <f t="shared" si="10"/>
        <v>1000.0000000000002</v>
      </c>
    </row>
    <row r="37" spans="1:6" x14ac:dyDescent="0.45">
      <c r="A37" s="6">
        <v>28</v>
      </c>
      <c r="B37" s="6">
        <f t="shared" si="6"/>
        <v>108.69744305153547</v>
      </c>
      <c r="C37" s="6">
        <f t="shared" si="7"/>
        <v>29.261884991696352</v>
      </c>
      <c r="D37" s="6">
        <f t="shared" si="8"/>
        <v>16.696312539548408</v>
      </c>
      <c r="E37" s="6">
        <f t="shared" si="9"/>
        <v>845.34435941722006</v>
      </c>
      <c r="F37" s="6">
        <f t="shared" si="10"/>
        <v>1000.0000000000003</v>
      </c>
    </row>
    <row r="38" spans="1:6" x14ac:dyDescent="0.45">
      <c r="A38" s="6">
        <v>29</v>
      </c>
      <c r="B38" s="6">
        <f t="shared" si="6"/>
        <v>102.00197094581661</v>
      </c>
      <c r="C38" s="6">
        <f t="shared" si="7"/>
        <v>27.459431048165079</v>
      </c>
      <c r="D38" s="6">
        <f t="shared" si="8"/>
        <v>15.667864290173169</v>
      </c>
      <c r="E38" s="6">
        <f t="shared" si="9"/>
        <v>854.8707337158454</v>
      </c>
      <c r="F38" s="6">
        <f t="shared" si="10"/>
        <v>1000.0000000000002</v>
      </c>
    </row>
    <row r="39" spans="1:6" x14ac:dyDescent="0.45">
      <c r="A39" s="6">
        <v>30</v>
      </c>
      <c r="B39" s="6">
        <f t="shared" si="6"/>
        <v>95.718922033953959</v>
      </c>
      <c r="C39" s="6">
        <f t="shared" si="7"/>
        <v>25.768003452899062</v>
      </c>
      <c r="D39" s="6">
        <f t="shared" si="8"/>
        <v>14.702765706076201</v>
      </c>
      <c r="E39" s="6">
        <f t="shared" si="9"/>
        <v>863.81030880707101</v>
      </c>
      <c r="F39" s="6">
        <f t="shared" si="10"/>
        <v>1000.0000000000002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abSelected="1" topLeftCell="C1" zoomScale="127" workbookViewId="0">
      <selection activeCell="C7" sqref="C7"/>
    </sheetView>
  </sheetViews>
  <sheetFormatPr baseColWidth="10" defaultRowHeight="14.25" x14ac:dyDescent="0.45"/>
  <cols>
    <col min="1" max="1" width="10.6640625" style="12"/>
    <col min="2" max="2" width="16.06640625" style="12" customWidth="1"/>
    <col min="3" max="3" width="19.265625" style="12" customWidth="1"/>
    <col min="4" max="4" width="18" style="12" customWidth="1"/>
    <col min="5" max="5" width="21" style="12" customWidth="1"/>
    <col min="6" max="16384" width="10.6640625" style="12"/>
  </cols>
  <sheetData>
    <row r="1" spans="1:5" s="7" customFormat="1" x14ac:dyDescent="0.45">
      <c r="A1" s="7" t="s">
        <v>4</v>
      </c>
      <c r="B1" s="8" t="s">
        <v>6</v>
      </c>
      <c r="C1" s="9" t="s">
        <v>7</v>
      </c>
      <c r="D1" s="10" t="s">
        <v>8</v>
      </c>
      <c r="E1" s="11" t="s">
        <v>9</v>
      </c>
    </row>
    <row r="2" spans="1:5" x14ac:dyDescent="0.45">
      <c r="A2" s="12">
        <v>0</v>
      </c>
      <c r="B2" s="12">
        <f>'Modèle sans action'!B9</f>
        <v>500</v>
      </c>
      <c r="C2" s="12">
        <f>'Modèle avec action'!B9</f>
        <v>500</v>
      </c>
      <c r="D2" s="12">
        <f>'Modèle sans action'!E9</f>
        <v>50</v>
      </c>
      <c r="E2" s="7">
        <f>'Modèle avec action'!E9</f>
        <v>50</v>
      </c>
    </row>
    <row r="3" spans="1:5" x14ac:dyDescent="0.45">
      <c r="A3" s="12">
        <v>1</v>
      </c>
      <c r="B3" s="12">
        <f>'Modèle sans action'!B10</f>
        <v>415</v>
      </c>
      <c r="C3" s="12">
        <f>'Modèle avec action'!B10</f>
        <v>550</v>
      </c>
      <c r="D3" s="12">
        <f>'Modèle sans action'!E10</f>
        <v>150</v>
      </c>
      <c r="E3" s="12">
        <f>'Modèle avec action'!E10</f>
        <v>125</v>
      </c>
    </row>
    <row r="4" spans="1:5" x14ac:dyDescent="0.45">
      <c r="A4" s="12">
        <v>2</v>
      </c>
      <c r="B4" s="12">
        <f>'Modèle sans action'!B11</f>
        <v>353</v>
      </c>
      <c r="C4" s="12">
        <f>'Modèle avec action'!B11</f>
        <v>545.5</v>
      </c>
      <c r="D4" s="12">
        <f>'Modèle sans action'!E11</f>
        <v>248.25</v>
      </c>
      <c r="E4" s="12">
        <f>'Modèle avec action'!E11</f>
        <v>186.25</v>
      </c>
    </row>
    <row r="5" spans="1:5" x14ac:dyDescent="0.45">
      <c r="A5" s="12">
        <v>3</v>
      </c>
      <c r="B5" s="12">
        <f>'Modèle sans action'!B12</f>
        <v>304.76250000000005</v>
      </c>
      <c r="C5" s="12">
        <f>'Modèle avec action'!B12</f>
        <v>523.55000000000007</v>
      </c>
      <c r="D5" s="12">
        <f>'Modèle sans action'!E12</f>
        <v>338.27499999999998</v>
      </c>
      <c r="E5" s="12">
        <f>'Modèle avec action'!E12</f>
        <v>239.51499999999999</v>
      </c>
    </row>
    <row r="6" spans="1:5" x14ac:dyDescent="0.45">
      <c r="A6" s="12">
        <v>4</v>
      </c>
      <c r="B6" s="12">
        <f>'Modèle sans action'!B13</f>
        <v>265.20375000000007</v>
      </c>
      <c r="C6" s="12">
        <f>'Modèle avec action'!B13</f>
        <v>496.08150000000012</v>
      </c>
      <c r="D6" s="12">
        <f>'Modèle sans action'!E13</f>
        <v>418.71937500000001</v>
      </c>
      <c r="E6" s="12">
        <f>'Modèle avec action'!E13</f>
        <v>287.68124999999998</v>
      </c>
    </row>
    <row r="7" spans="1:5" x14ac:dyDescent="0.45">
      <c r="A7" s="12">
        <v>5</v>
      </c>
      <c r="B7" s="12">
        <f>'Modèle sans action'!B14</f>
        <v>231.69484375000008</v>
      </c>
      <c r="C7" s="12">
        <f>'Modèle avec action'!B14</f>
        <v>467.51005000000015</v>
      </c>
      <c r="D7" s="12">
        <f>'Modèle sans action'!E14</f>
        <v>489.86300000000006</v>
      </c>
      <c r="E7" s="12">
        <f>'Modèle avec action'!E14</f>
        <v>332.11244499999998</v>
      </c>
    </row>
    <row r="8" spans="1:5" x14ac:dyDescent="0.45">
      <c r="A8" s="12">
        <v>6</v>
      </c>
      <c r="B8" s="12">
        <f>'Modèle sans action'!B15</f>
        <v>202.81046250000006</v>
      </c>
      <c r="C8" s="12">
        <f>'Modèle avec action'!B15</f>
        <v>439.5410995000002</v>
      </c>
      <c r="D8" s="12">
        <f>'Modèle sans action'!E15</f>
        <v>552.49425781250011</v>
      </c>
      <c r="E8" s="12">
        <f>'Modèle avec action'!E15</f>
        <v>373.48446824999996</v>
      </c>
    </row>
    <row r="9" spans="1:5" x14ac:dyDescent="0.45">
      <c r="A9" s="12">
        <v>7</v>
      </c>
      <c r="B9" s="12">
        <f>'Modèle sans action'!B16</f>
        <v>177.69158820312506</v>
      </c>
      <c r="C9" s="12">
        <f>'Modèle avec action'!B16</f>
        <v>412.81263835000021</v>
      </c>
      <c r="D9" s="12">
        <f>'Modèle sans action'!E16</f>
        <v>607.51635203125011</v>
      </c>
      <c r="E9" s="12">
        <f>'Modèle avec action'!E16</f>
        <v>412.17315153499999</v>
      </c>
    </row>
    <row r="10" spans="1:5" x14ac:dyDescent="0.45">
      <c r="A10" s="12">
        <v>8</v>
      </c>
      <c r="B10" s="12">
        <f>'Modèle sans action'!B17</f>
        <v>155.75272547656255</v>
      </c>
      <c r="C10" s="12">
        <f>'Modèle avec action'!B17</f>
        <v>387.52914793350021</v>
      </c>
      <c r="D10" s="12">
        <f>'Modèle sans action'!E17</f>
        <v>655.80656648046886</v>
      </c>
      <c r="E10" s="12">
        <f>'Modèle avec action'!E17</f>
        <v>448.42227509324999</v>
      </c>
    </row>
    <row r="11" spans="1:5" x14ac:dyDescent="0.45">
      <c r="A11" s="12">
        <v>9</v>
      </c>
      <c r="B11" s="12">
        <f>'Modèle sans action'!B18</f>
        <v>136.55134859511725</v>
      </c>
      <c r="C11" s="12">
        <f>'Modèle avec action'!B18</f>
        <v>363.71886709065018</v>
      </c>
      <c r="D11" s="12">
        <f>'Modèle sans action'!E18</f>
        <v>698.16907352578141</v>
      </c>
      <c r="E11" s="12">
        <f>'Modèle avec action'!E18</f>
        <v>482.41494825130502</v>
      </c>
    </row>
    <row r="12" spans="1:5" x14ac:dyDescent="0.45">
      <c r="A12" s="12">
        <v>10</v>
      </c>
      <c r="B12" s="12">
        <f>'Modèle sans action'!B19</f>
        <v>119.729138938086</v>
      </c>
      <c r="C12" s="12">
        <f>'Modèle avec action'!B19</f>
        <v>341.34004233811561</v>
      </c>
      <c r="D12" s="12">
        <f>'Modèle sans action'!E19</f>
        <v>735.32344156813497</v>
      </c>
      <c r="E12" s="12">
        <f>'Modèle avec action'!E19</f>
        <v>514.30389532864024</v>
      </c>
    </row>
    <row r="13" spans="1:5" x14ac:dyDescent="0.45">
      <c r="A13" s="12">
        <v>11</v>
      </c>
      <c r="B13" s="12">
        <f>'Modèle sans action'!B20</f>
        <v>104.9843111941978</v>
      </c>
      <c r="C13" s="12">
        <f>'Modèle avec action'!B20</f>
        <v>320.32497955361782</v>
      </c>
      <c r="D13" s="12">
        <f>'Modèle sans action'!E20</f>
        <v>767.9066191164211</v>
      </c>
      <c r="E13" s="12">
        <f>'Modèle avec action'!E20</f>
        <v>544.2244424571943</v>
      </c>
    </row>
    <row r="14" spans="1:5" x14ac:dyDescent="0.45">
      <c r="A14" s="12">
        <v>12</v>
      </c>
      <c r="B14" s="12">
        <f>'Modèle sans action'!B21</f>
        <v>92.057413231888674</v>
      </c>
      <c r="C14" s="12">
        <f>'Modèle avec action'!B21</f>
        <v>300.59823669515652</v>
      </c>
      <c r="D14" s="12">
        <f>'Modèle sans action'!E21</f>
        <v>796.47961693398281</v>
      </c>
      <c r="E14" s="12">
        <f>'Modèle avec action'!E21</f>
        <v>572.30023871442813</v>
      </c>
    </row>
    <row r="15" spans="1:5" x14ac:dyDescent="0.45">
      <c r="A15" s="12">
        <v>13</v>
      </c>
      <c r="B15" s="12">
        <f>'Modèle sans action'!B22</f>
        <v>80.723093007328401</v>
      </c>
      <c r="C15" s="12">
        <f>'Modèle avec action'!B22</f>
        <v>282.08403642839698</v>
      </c>
      <c r="D15" s="12">
        <f>'Modèle sans action'!E22</f>
        <v>821.53540864823208</v>
      </c>
      <c r="E15" s="12">
        <f>'Modèle avec action'!E22</f>
        <v>598.64591965627153</v>
      </c>
    </row>
    <row r="16" spans="1:5" x14ac:dyDescent="0.45">
      <c r="A16" s="12">
        <v>14</v>
      </c>
      <c r="B16" s="12">
        <f>'Modèle sans action'!B23</f>
        <v>70.784641136984931</v>
      </c>
      <c r="C16" s="12">
        <f>'Modèle avec action'!B23</f>
        <v>264.7091860514073</v>
      </c>
      <c r="D16" s="12">
        <f>'Modèle sans action'!E23</f>
        <v>843.50670500489377</v>
      </c>
      <c r="E16" s="12">
        <f>'Modèle avec action'!E23</f>
        <v>623.36847546937804</v>
      </c>
    </row>
    <row r="17" spans="1:5" x14ac:dyDescent="0.45">
      <c r="A17" s="12">
        <v>15</v>
      </c>
      <c r="B17" s="12">
        <f>'Modèle sans action'!B24</f>
        <v>62.069940077349784</v>
      </c>
      <c r="C17" s="12">
        <f>'Modèle avec action'!B24</f>
        <v>248.40413041957925</v>
      </c>
      <c r="D17" s="12">
        <f>'Modèle sans action'!E24</f>
        <v>862.77312261584962</v>
      </c>
      <c r="E17" s="12">
        <f>'Modèle avec action'!E24</f>
        <v>646.568061805458</v>
      </c>
    </row>
    <row r="18" spans="1:5" x14ac:dyDescent="0.45">
      <c r="A18" s="12">
        <v>16</v>
      </c>
      <c r="B18" s="12">
        <f>'Modèle sans action'!B25</f>
        <v>54.428218118935</v>
      </c>
      <c r="C18" s="12">
        <f>'Modèle avec action'!B25</f>
        <v>233.10323466811155</v>
      </c>
      <c r="D18" s="12">
        <f>'Modèle sans action'!E25</f>
        <v>879.66761636112062</v>
      </c>
      <c r="E18" s="12">
        <f>'Modèle avec action'!E25</f>
        <v>668.33856288431014</v>
      </c>
    </row>
    <row r="19" spans="1:5" x14ac:dyDescent="0.45">
      <c r="A19" s="12">
        <v>17</v>
      </c>
      <c r="B19" s="12">
        <f>'Modèle sans action'!B26</f>
        <v>47.727330485321133</v>
      </c>
      <c r="C19" s="12">
        <f>'Modèle avec action'!B26</f>
        <v>218.74475462056853</v>
      </c>
      <c r="D19" s="12">
        <f>'Modèle sans action'!E26</f>
        <v>894.48218071502561</v>
      </c>
      <c r="E19" s="12">
        <f>'Modèle avec action'!E26</f>
        <v>688.76803721558736</v>
      </c>
    </row>
    <row r="20" spans="1:5" x14ac:dyDescent="0.45">
      <c r="A20" s="12">
        <v>18</v>
      </c>
      <c r="B20" s="12">
        <f>'Modèle sans action'!B27</f>
        <v>41.851428243595215</v>
      </c>
      <c r="C20" s="12">
        <f>'Modèle avec action'!B27</f>
        <v>205.27068572329361</v>
      </c>
      <c r="D20" s="12">
        <f>'Modèle sans action'!E27</f>
        <v>907.47287448162626</v>
      </c>
      <c r="E20" s="12">
        <f>'Modèle avec action'!E27</f>
        <v>707.93910128993832</v>
      </c>
    </row>
    <row r="21" spans="1:5" x14ac:dyDescent="0.45">
      <c r="A21" s="12">
        <v>19</v>
      </c>
      <c r="B21" s="12">
        <f>'Modèle sans action'!B28</f>
        <v>36.698936301406803</v>
      </c>
      <c r="C21" s="12">
        <f>'Modèle avec action'!B28</f>
        <v>192.62656973448139</v>
      </c>
      <c r="D21" s="12">
        <f>'Modèle sans action'!E28</f>
        <v>918.86423745545028</v>
      </c>
      <c r="E21" s="12">
        <f>'Modèle avec action'!E28</f>
        <v>725.92927517974431</v>
      </c>
    </row>
    <row r="22" spans="1:5" x14ac:dyDescent="0.45">
      <c r="A22" s="12">
        <v>20</v>
      </c>
      <c r="B22" s="12">
        <f>'Modèle sans action'!B29</f>
        <v>32.180789539677974</v>
      </c>
      <c r="C22" s="12">
        <f>'Modèle avec action'!B29</f>
        <v>180.76129176728676</v>
      </c>
      <c r="D22" s="12">
        <f>'Modèle sans action'!E29</f>
        <v>928.85316771753128</v>
      </c>
      <c r="E22" s="12">
        <f>'Modèle avec action'!E29</f>
        <v>742.81130080766025</v>
      </c>
    </row>
    <row r="23" spans="1:5" x14ac:dyDescent="0.45">
      <c r="A23" s="12">
        <v>21</v>
      </c>
      <c r="B23" s="12">
        <f>'Modèle sans action'!B30</f>
        <v>28.218889931268599</v>
      </c>
      <c r="C23" s="12">
        <f>'Modèle avec action'!B30</f>
        <v>169.62688082301099</v>
      </c>
      <c r="D23" s="12">
        <f>'Modèle sans action'!E30</f>
        <v>937.61232340908737</v>
      </c>
      <c r="E23" s="12">
        <f>'Modèle avec action'!E30</f>
        <v>758.65343808360399</v>
      </c>
    </row>
    <row r="24" spans="1:5" x14ac:dyDescent="0.45">
      <c r="A24" s="12">
        <v>22</v>
      </c>
      <c r="B24" s="12">
        <f>'Modèle sans action'!B31</f>
        <v>24.744755203812794</v>
      </c>
      <c r="C24" s="12">
        <f>'Modèle avec action'!B31</f>
        <v>159.17831884317047</v>
      </c>
      <c r="D24" s="12">
        <f>'Modèle sans action'!E31</f>
        <v>945.29310646017905</v>
      </c>
      <c r="E24" s="12">
        <f>'Modèle avec action'!E31</f>
        <v>773.51974174392899</v>
      </c>
    </row>
    <row r="25" spans="1:5" x14ac:dyDescent="0.45">
      <c r="A25" s="12">
        <v>23</v>
      </c>
      <c r="B25" s="12">
        <f>'Modèle sans action'!B32</f>
        <v>21.698334534437489</v>
      </c>
      <c r="C25" s="12">
        <f>'Modèle avec action'!B32</f>
        <v>149.37335994814649</v>
      </c>
      <c r="D25" s="12">
        <f>'Modèle sans action'!E32</f>
        <v>952.02827929669445</v>
      </c>
      <c r="E25" s="12">
        <f>'Modèle avec action'!E32</f>
        <v>787.47032069628926</v>
      </c>
    </row>
    <row r="26" spans="1:5" x14ac:dyDescent="0.45">
      <c r="A26" s="12">
        <v>24</v>
      </c>
      <c r="B26" s="12">
        <f>'Modèle sans action'!B33</f>
        <v>19.026970325055423</v>
      </c>
      <c r="C26" s="12">
        <f>'Modèle avec action'!B33</f>
        <v>140.17236015161421</v>
      </c>
      <c r="D26" s="12">
        <f>'Modèle sans action'!E33</f>
        <v>957.93425952636449</v>
      </c>
      <c r="E26" s="12">
        <f>'Modèle avec action'!E33</f>
        <v>800.56158120485452</v>
      </c>
    </row>
    <row r="27" spans="1:5" x14ac:dyDescent="0.45">
      <c r="A27" s="12">
        <v>25</v>
      </c>
      <c r="B27" s="12">
        <f>'Modèle sans action'!B34</f>
        <v>16.684487912439288</v>
      </c>
      <c r="C27" s="12">
        <f>'Modèle avec action'!B34</f>
        <v>131.53811728872984</v>
      </c>
      <c r="D27" s="12">
        <f>'Modèle sans action'!E34</f>
        <v>963.11313217213103</v>
      </c>
      <c r="E27" s="12">
        <f>'Modèle avec action'!E34</f>
        <v>812.8464550187432</v>
      </c>
    </row>
    <row r="28" spans="1:5" x14ac:dyDescent="0.45">
      <c r="A28" s="12">
        <v>26</v>
      </c>
      <c r="B28" s="12">
        <f>'Modèle sans action'!B35</f>
        <v>14.630397395411407</v>
      </c>
      <c r="C28" s="12">
        <f>'Modèle avec action'!B35</f>
        <v>123.43572068917786</v>
      </c>
      <c r="D28" s="12">
        <f>'Modèle sans action'!E35</f>
        <v>967.6544141946714</v>
      </c>
      <c r="E28" s="12">
        <f>'Modèle avec action'!E35</f>
        <v>824.37461341606627</v>
      </c>
    </row>
    <row r="29" spans="1:5" x14ac:dyDescent="0.45">
      <c r="A29" s="12">
        <v>27</v>
      </c>
      <c r="B29" s="12">
        <f>'Modèle sans action'!B36</f>
        <v>12.829193748040945</v>
      </c>
      <c r="C29" s="12">
        <f>'Modèle avec action'!B36</f>
        <v>115.83241006181825</v>
      </c>
      <c r="D29" s="12">
        <f>'Modèle sans action'!E36</f>
        <v>971.63660178737473</v>
      </c>
      <c r="E29" s="12">
        <f>'Modèle avec action'!E36</f>
        <v>835.19266804993049</v>
      </c>
    </row>
    <row r="30" spans="1:5" x14ac:dyDescent="0.45">
      <c r="A30" s="12">
        <v>28</v>
      </c>
      <c r="B30" s="12">
        <f>'Modèle sans action'!B37</f>
        <v>11.24974310685287</v>
      </c>
      <c r="C30" s="12">
        <f>'Modèle avec action'!B37</f>
        <v>108.69744305153547</v>
      </c>
      <c r="D30" s="12">
        <f>'Modèle sans action'!E37</f>
        <v>975.12852718192835</v>
      </c>
      <c r="E30" s="12">
        <f>'Modèle avec action'!E37</f>
        <v>845.34435941722006</v>
      </c>
    </row>
    <row r="31" spans="1:5" x14ac:dyDescent="0.45">
      <c r="A31" s="12">
        <v>29</v>
      </c>
      <c r="B31" s="12">
        <f>'Modèle sans action'!B38</f>
        <v>9.8647446179969691</v>
      </c>
      <c r="C31" s="12">
        <f>'Modèle avec action'!B38</f>
        <v>102.00197094581661</v>
      </c>
      <c r="D31" s="12">
        <f>'Modèle sans action'!E38</f>
        <v>978.19054841407569</v>
      </c>
      <c r="E31" s="12">
        <f>'Modèle avec action'!E38</f>
        <v>854.8707337158454</v>
      </c>
    </row>
    <row r="32" spans="1:5" x14ac:dyDescent="0.45">
      <c r="A32" s="12">
        <v>30</v>
      </c>
      <c r="B32" s="12">
        <f>'Modèle sans action'!B39</f>
        <v>8.6502585398881049</v>
      </c>
      <c r="C32" s="12">
        <f>'Modèle avec action'!B39</f>
        <v>95.718922033953959</v>
      </c>
      <c r="D32" s="12">
        <f>'Modèle sans action'!E39</f>
        <v>980.87559261349065</v>
      </c>
      <c r="E32" s="12">
        <f>'Modèle avec action'!E39</f>
        <v>863.81030880707101</v>
      </c>
    </row>
  </sheetData>
  <pageMargins left="0.7" right="0.7" top="0.75" bottom="0.75" header="0.3" footer="0.3"/>
  <pageSetup paperSize="9" orientation="portrait" horizontalDpi="4294967292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Modèle sans action</vt:lpstr>
      <vt:lpstr>Modèle avec action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surface</dc:creator>
  <cp:lastModifiedBy>surface</cp:lastModifiedBy>
  <dcterms:created xsi:type="dcterms:W3CDTF">2026-06-06T23:00:40Z</dcterms:created>
  <dcterms:modified xsi:type="dcterms:W3CDTF">2026-06-22T21:51:04Z</dcterms:modified>
</cp:coreProperties>
</file>